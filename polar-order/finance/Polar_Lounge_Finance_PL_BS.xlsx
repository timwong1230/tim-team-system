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Setup" sheetId="2" state="visible" r:id="rId2"/>
    <sheet name="Chart_of_Accounts" sheetId="3" state="visible" r:id="rId3"/>
    <sheet name="Daily_Sales" sheetId="4" state="visible" r:id="rId4"/>
    <sheet name="Bank_Entries" sheetId="5" state="visible" r:id="rId5"/>
    <sheet name="P&amp;L_Monthly" sheetId="6" state="visible" r:id="rId6"/>
    <sheet name="Balance_Sheet" sheetId="7" state="visible" r:id="rId7"/>
    <sheet name="KP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8">
    <font>
      <name val="Calibri"/>
      <family val="2"/>
      <color theme="1"/>
      <sz val="11"/>
      <scheme val="minor"/>
    </font>
    <font>
      <name val="Calibri"/>
      <b val="1"/>
      <color rgb="001A1A1A"/>
      <sz val="18"/>
    </font>
    <font>
      <name val="Calibri"/>
      <b val="1"/>
      <color rgb="001A1A1A"/>
      <sz val="11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sz val="14"/>
    </font>
    <font>
      <name val="Calibri"/>
      <b val="1"/>
      <sz val="18"/>
    </font>
  </fonts>
  <fills count="9">
    <fill>
      <patternFill/>
    </fill>
    <fill>
      <patternFill patternType="gray125"/>
    </fill>
    <fill>
      <patternFill patternType="solid">
        <fgColor rgb="002A6F6F"/>
      </patternFill>
    </fill>
    <fill>
      <patternFill patternType="solid">
        <fgColor rgb="00F3EFE7"/>
      </patternFill>
    </fill>
    <fill>
      <patternFill patternType="solid">
        <fgColor rgb="00E7F3EC"/>
      </patternFill>
    </fill>
    <fill>
      <patternFill patternType="solid">
        <fgColor rgb="00FFF4E0"/>
      </patternFill>
    </fill>
    <fill>
      <patternFill patternType="solid">
        <fgColor rgb="00FCE8E8"/>
      </patternFill>
    </fill>
    <fill>
      <patternFill patternType="solid">
        <fgColor rgb="001B3A4B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4" fillId="7" borderId="1" applyAlignment="1" pivotButton="0" quotePrefix="0" xfId="0">
      <alignment vertical="center" wrapText="1"/>
    </xf>
    <xf numFmtId="0" fontId="0" fillId="8" borderId="0" pivotButton="0" quotePrefix="0" xfId="0"/>
    <xf numFmtId="4" fontId="0" fillId="0" borderId="1" pivotButton="0" quotePrefix="0" xfId="0"/>
    <xf numFmtId="4" fontId="0" fillId="0" borderId="0" pivotButton="0" quotePrefix="0" xfId="0"/>
    <xf numFmtId="0" fontId="0" fillId="8" borderId="1" pivotButton="0" quotePrefix="0" xfId="0"/>
    <xf numFmtId="4" fontId="0" fillId="8" borderId="1" pivotButton="0" quotePrefix="0" xfId="0"/>
    <xf numFmtId="0" fontId="5" fillId="7" borderId="0" pivotButton="0" quotePrefix="0" xfId="0"/>
    <xf numFmtId="0" fontId="0" fillId="7" borderId="0" pivotButton="0" quotePrefix="0" xfId="0"/>
    <xf numFmtId="4" fontId="0" fillId="4" borderId="0" pivotButton="0" quotePrefix="0" xfId="0"/>
    <xf numFmtId="0" fontId="5" fillId="2" borderId="0" pivotButton="0" quotePrefix="0" xfId="0"/>
    <xf numFmtId="0" fontId="0" fillId="2" borderId="0" pivotButton="0" quotePrefix="0" xfId="0"/>
    <xf numFmtId="0" fontId="6" fillId="0" borderId="0" pivotButton="0" quotePrefix="0" xfId="0"/>
    <xf numFmtId="4" fontId="6" fillId="4" borderId="0" pivotButton="0" quotePrefix="0" xfId="0"/>
    <xf numFmtId="164" fontId="0" fillId="0" borderId="0" pivotButton="0" quotePrefix="0" xfId="0"/>
    <xf numFmtId="165" fontId="0" fillId="8" borderId="0" pivotButton="0" quotePrefix="0" xfId="0"/>
    <xf numFmtId="4" fontId="0" fillId="3" borderId="0" pivotButton="0" quotePrefix="0" xfId="0"/>
    <xf numFmtId="0" fontId="7" fillId="0" borderId="0" pivotButton="0" quotePrefix="0" xfId="0"/>
    <xf numFmtId="165" fontId="0" fillId="8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Polar Lounge — Finance (P&amp;L + Balance Sheet)</t>
        </is>
      </c>
    </row>
    <row r="3">
      <c r="A3" s="2" t="inlineStr">
        <is>
          <t>你要做嘅事（淨係呢樣）</t>
        </is>
      </c>
    </row>
    <row r="4">
      <c r="A4" t="inlineStr">
        <is>
          <t>1. 員工每日喺 Polar Order 埋數（關枱 / Claims / Cash Tilt）→ 撳 Sync to Google Sheet</t>
        </is>
      </c>
    </row>
    <row r="5">
      <c r="A5" t="inlineStr">
        <is>
          <t>2. 你每月／每星期入返銀行流水去「Bank_Entries」黃色格（日期、memo、金額、Nature）</t>
        </is>
      </c>
    </row>
    <row r="6">
      <c r="A6" t="inlineStr">
        <is>
          <t>3. 睇「P&amp;L_Monthly」「Balance_Sheet」「KPI」——全部自動計</t>
        </is>
      </c>
    </row>
    <row r="8">
      <c r="A8" s="2" t="inlineStr">
        <is>
          <t>自動化邊度嚟</t>
        </is>
      </c>
    </row>
    <row r="9">
      <c r="A9" t="inlineStr">
        <is>
          <t>Daily_Sales ← Polar Order 自動寫入（唔好人手改數字欄）</t>
        </is>
      </c>
    </row>
    <row r="10">
      <c r="A10" t="inlineStr">
        <is>
          <t>P&amp;L / Balance Sheet / KPI ← 公式由 Daily_Sales + Bank_Entries 抽出</t>
        </is>
      </c>
    </row>
    <row r="11">
      <c r="A11" t="inlineStr">
        <is>
          <t>舊「Polar Lounge CWB」保留做 archive，唔使再每月開新 tab</t>
        </is>
      </c>
    </row>
    <row r="13">
      <c r="A13" s="2" t="inlineStr">
        <is>
          <t>Tabs</t>
        </is>
      </c>
    </row>
    <row r="14">
      <c r="A14" s="2" t="inlineStr">
        <is>
          <t>00_README</t>
        </is>
      </c>
      <c r="B14" t="inlineStr">
        <is>
          <t>說明（本頁）</t>
        </is>
      </c>
    </row>
    <row r="15">
      <c r="A15" s="2" t="inlineStr">
        <is>
          <t>Chart_of_Accounts</t>
        </is>
      </c>
      <c r="B15" t="inlineStr">
        <is>
          <t>科目表（Nature / account code）</t>
        </is>
      </c>
    </row>
    <row r="16">
      <c r="A16" s="2" t="inlineStr">
        <is>
          <t>Daily_Sales</t>
        </is>
      </c>
      <c r="B16" t="inlineStr">
        <is>
          <t>每日埋數（系統 sync）</t>
        </is>
      </c>
    </row>
    <row r="17">
      <c r="A17" s="2" t="inlineStr">
        <is>
          <t>Bank_Entries</t>
        </is>
      </c>
      <c r="B17" t="inlineStr">
        <is>
          <t>銀行流水（你入）</t>
        </is>
      </c>
    </row>
    <row r="18">
      <c r="A18" s="2" t="inlineStr">
        <is>
          <t>P&amp;L_Monthly</t>
        </is>
      </c>
      <c r="B18" t="inlineStr">
        <is>
          <t>每月損益表</t>
        </is>
      </c>
    </row>
    <row r="19">
      <c r="A19" s="2" t="inlineStr">
        <is>
          <t>Balance_Sheet</t>
        </is>
      </c>
      <c r="B19" t="inlineStr">
        <is>
          <t>資產負債表</t>
        </is>
      </c>
    </row>
    <row r="20">
      <c r="A20" s="2" t="inlineStr">
        <is>
          <t>KPI</t>
        </is>
      </c>
      <c r="B20" t="inlineStr">
        <is>
          <t>銷售／人工／expense 比率</t>
        </is>
      </c>
    </row>
    <row r="22">
      <c r="A22" s="3" t="inlineStr">
        <is>
          <t>FY note: 報表以「日曆月」為單位（1–12 月）。開業／partners meeting 用 KPI + 當月 P&amp;L。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6" t="inlineStr">
        <is>
          <t>Setup checklist</t>
        </is>
      </c>
    </row>
    <row r="3">
      <c r="A3" t="inlineStr">
        <is>
          <t>1. Open this file with Google Sheets (File → Save as Google Sheets if still .xlsx)</t>
        </is>
      </c>
    </row>
    <row r="4">
      <c r="A4" t="inlineStr">
        <is>
          <t>2. Share with Polar Order service account as Editor + cwbpolar@gmail.com</t>
        </is>
      </c>
    </row>
    <row r="5">
      <c r="A5" t="inlineStr">
        <is>
          <t>3. Render POLAR_DAILY_SALES_SHEET_ID = this spreadsheet id (from URL)</t>
        </is>
      </c>
    </row>
    <row r="6">
      <c r="A6" t="inlineStr">
        <is>
          <t>4. POLAR_DAILY_SALES_WORKSHEET = Daily_Sales</t>
        </is>
      </c>
    </row>
    <row r="7">
      <c r="A7" t="inlineStr">
        <is>
          <t>5. POLAR_GSPREAD_KEY = service account JSON</t>
        </is>
      </c>
    </row>
    <row r="8">
      <c r="A8" t="inlineStr">
        <is>
          <t>6. You only maintain Bank_Entries (yellow cells)</t>
        </is>
      </c>
    </row>
    <row r="9">
      <c r="A9" t="inlineStr">
        <is>
          <t>7. Temporary Daily_Sales sheet (until step 3): 1GBFYoOa6oBSTono0b6qy8qX6mKQSbOsnaoWTzP-LiIY</t>
        </is>
      </c>
    </row>
    <row r="10">
      <c r="A10" s="3" t="inlineStr">
        <is>
          <t>8. Old Polar Lounge CWB stays as historical archive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20" customWidth="1" min="4" max="4"/>
    <col width="18" customWidth="1" min="5" max="5"/>
    <col width="36" customWidth="1" min="6" max="6"/>
  </cols>
  <sheetData>
    <row r="1">
      <c r="A1" s="1" t="inlineStr">
        <is>
          <t>Chart of Accounts</t>
        </is>
      </c>
    </row>
    <row r="2">
      <c r="A2" s="3" t="inlineStr">
        <is>
          <t>Bank_Entries 嘅 Nature 必須用呢度嘅名稱（下拉），先會入到 P&amp;L / BS。</t>
        </is>
      </c>
    </row>
    <row r="4">
      <c r="A4" s="4" t="inlineStr">
        <is>
          <t>account_code</t>
        </is>
      </c>
      <c r="B4" s="4" t="inlineStr">
        <is>
          <t>nature</t>
        </is>
      </c>
      <c r="C4" s="4" t="inlineStr">
        <is>
          <t>type</t>
        </is>
      </c>
      <c r="D4" s="4" t="inlineStr">
        <is>
          <t>pl_section</t>
        </is>
      </c>
      <c r="E4" s="4" t="inlineStr">
        <is>
          <t>bs_section</t>
        </is>
      </c>
      <c r="F4" s="4" t="inlineStr">
        <is>
          <t>notes</t>
        </is>
      </c>
      <c r="H4" s="2" t="inlineStr">
        <is>
          <t>Nature list (for dropdown)</t>
        </is>
      </c>
    </row>
    <row r="5">
      <c r="A5" s="5" t="inlineStr">
        <is>
          <t>1000</t>
        </is>
      </c>
      <c r="B5" s="5" t="inlineStr">
        <is>
          <t>HSBC SA</t>
        </is>
      </c>
      <c r="C5" s="5" t="inlineStr">
        <is>
          <t>Asset</t>
        </is>
      </c>
      <c r="D5" s="5" t="inlineStr"/>
      <c r="E5" s="5" t="inlineStr">
        <is>
          <t>Current assets</t>
        </is>
      </c>
      <c r="F5" s="5" t="inlineStr">
        <is>
          <t>Savings</t>
        </is>
      </c>
      <c r="H5" t="inlineStr">
        <is>
          <t>HSBC SA</t>
        </is>
      </c>
    </row>
    <row r="6">
      <c r="A6" s="5" t="inlineStr">
        <is>
          <t>1010</t>
        </is>
      </c>
      <c r="B6" s="5" t="inlineStr">
        <is>
          <t>HSBC CA</t>
        </is>
      </c>
      <c r="C6" s="5" t="inlineStr">
        <is>
          <t>Asset</t>
        </is>
      </c>
      <c r="D6" s="5" t="inlineStr"/>
      <c r="E6" s="5" t="inlineStr">
        <is>
          <t>Current assets</t>
        </is>
      </c>
      <c r="F6" s="5" t="inlineStr">
        <is>
          <t>Current account</t>
        </is>
      </c>
      <c r="H6" t="inlineStr">
        <is>
          <t>HSBC CA</t>
        </is>
      </c>
    </row>
    <row r="7">
      <c r="A7" s="5" t="inlineStr">
        <is>
          <t>1100</t>
        </is>
      </c>
      <c r="B7" s="5" t="inlineStr">
        <is>
          <t>Cash on hand</t>
        </is>
      </c>
      <c r="C7" s="5" t="inlineStr">
        <is>
          <t>Asset</t>
        </is>
      </c>
      <c r="D7" s="5" t="inlineStr"/>
      <c r="E7" s="5" t="inlineStr">
        <is>
          <t>Current assets</t>
        </is>
      </c>
      <c r="F7" s="5" t="inlineStr">
        <is>
          <t>Till / float（參考 Cash Tilt）</t>
        </is>
      </c>
      <c r="H7" t="inlineStr">
        <is>
          <t>Cash on hand</t>
        </is>
      </c>
    </row>
    <row r="8">
      <c r="A8" s="5" t="inlineStr">
        <is>
          <t>1200</t>
        </is>
      </c>
      <c r="B8" s="5" t="inlineStr">
        <is>
          <t>Deposits held</t>
        </is>
      </c>
      <c r="C8" s="5" t="inlineStr">
        <is>
          <t>Asset</t>
        </is>
      </c>
      <c r="D8" s="5" t="inlineStr"/>
      <c r="E8" s="5" t="inlineStr">
        <is>
          <t>Non-current assets</t>
        </is>
      </c>
      <c r="F8" s="5" t="inlineStr">
        <is>
          <t>租約／水電按金</t>
        </is>
      </c>
      <c r="H8" t="inlineStr">
        <is>
          <t>Deposits held</t>
        </is>
      </c>
    </row>
    <row r="9">
      <c r="A9" s="6" t="inlineStr">
        <is>
          <t>3000</t>
        </is>
      </c>
      <c r="B9" s="6" t="inlineStr">
        <is>
          <t>Partner capital</t>
        </is>
      </c>
      <c r="C9" s="6" t="inlineStr">
        <is>
          <t>Equity</t>
        </is>
      </c>
      <c r="D9" s="6" t="inlineStr"/>
      <c r="E9" s="6" t="inlineStr">
        <is>
          <t>Equity</t>
        </is>
      </c>
      <c r="F9" s="6" t="inlineStr">
        <is>
          <t>開業資本</t>
        </is>
      </c>
      <c r="H9" t="inlineStr">
        <is>
          <t>Partner capital</t>
        </is>
      </c>
    </row>
    <row r="10">
      <c r="A10" s="6" t="inlineStr">
        <is>
          <t>3100</t>
        </is>
      </c>
      <c r="B10" s="6" t="inlineStr">
        <is>
          <t>Partner drawings</t>
        </is>
      </c>
      <c r="C10" s="6" t="inlineStr">
        <is>
          <t>Equity</t>
        </is>
      </c>
      <c r="D10" s="6" t="inlineStr"/>
      <c r="E10" s="6" t="inlineStr">
        <is>
          <t>Equity</t>
        </is>
      </c>
      <c r="F10" s="6" t="inlineStr">
        <is>
          <t>股東提取</t>
        </is>
      </c>
      <c r="H10" t="inlineStr">
        <is>
          <t>Partner drawings</t>
        </is>
      </c>
    </row>
    <row r="11">
      <c r="A11" s="6" t="inlineStr">
        <is>
          <t>3200</t>
        </is>
      </c>
      <c r="B11" s="6" t="inlineStr">
        <is>
          <t>Partner cash in</t>
        </is>
      </c>
      <c r="C11" s="6" t="inlineStr">
        <is>
          <t>Equity</t>
        </is>
      </c>
      <c r="D11" s="6" t="inlineStr"/>
      <c r="E11" s="6" t="inlineStr">
        <is>
          <t>Equity</t>
        </is>
      </c>
      <c r="F11" s="6" t="inlineStr">
        <is>
          <t>股東注資（銀行入數）</t>
        </is>
      </c>
      <c r="H11" t="inlineStr">
        <is>
          <t>Partner cash in</t>
        </is>
      </c>
    </row>
    <row r="12">
      <c r="A12" s="7" t="inlineStr">
        <is>
          <t>4000</t>
        </is>
      </c>
      <c r="B12" s="7" t="inlineStr">
        <is>
          <t>Sales</t>
        </is>
      </c>
      <c r="C12" s="7" t="inlineStr">
        <is>
          <t>Revenue</t>
        </is>
      </c>
      <c r="D12" s="7" t="inlineStr">
        <is>
          <t>Sales</t>
        </is>
      </c>
      <c r="E12" s="7" t="inlineStr"/>
      <c r="F12" s="7" t="inlineStr">
        <is>
          <t>銀行入數標 Sales；日銷售亦由 Daily_Sales 計</t>
        </is>
      </c>
      <c r="H12" t="inlineStr">
        <is>
          <t>Sales</t>
        </is>
      </c>
    </row>
    <row r="13">
      <c r="A13" s="8" t="inlineStr">
        <is>
          <t>5000</t>
        </is>
      </c>
      <c r="B13" s="8" t="inlineStr">
        <is>
          <t>Drink / Alcohol</t>
        </is>
      </c>
      <c r="C13" s="8" t="inlineStr">
        <is>
          <t>COGS</t>
        </is>
      </c>
      <c r="D13" s="8" t="inlineStr">
        <is>
          <t>COGS</t>
        </is>
      </c>
      <c r="E13" s="8" t="inlineStr"/>
      <c r="F13" s="8" t="inlineStr">
        <is>
          <t>酒水採購</t>
        </is>
      </c>
      <c r="H13" t="inlineStr">
        <is>
          <t>Drink / Alcohol</t>
        </is>
      </c>
    </row>
    <row r="14">
      <c r="A14" s="8" t="inlineStr">
        <is>
          <t>5010</t>
        </is>
      </c>
      <c r="B14" s="8" t="inlineStr">
        <is>
          <t>Shisha stock</t>
        </is>
      </c>
      <c r="C14" s="8" t="inlineStr">
        <is>
          <t>COGS</t>
        </is>
      </c>
      <c r="D14" s="8" t="inlineStr">
        <is>
          <t>COGS</t>
        </is>
      </c>
      <c r="E14" s="8" t="inlineStr"/>
      <c r="F14" s="8" t="inlineStr">
        <is>
          <t>水煙原料</t>
        </is>
      </c>
      <c r="H14" t="inlineStr">
        <is>
          <t>Shisha stock</t>
        </is>
      </c>
    </row>
    <row r="15">
      <c r="A15" s="8" t="inlineStr">
        <is>
          <t>5020</t>
        </is>
      </c>
      <c r="B15" s="8" t="inlineStr">
        <is>
          <t>Nuts / snacks</t>
        </is>
      </c>
      <c r="C15" s="8" t="inlineStr">
        <is>
          <t>COGS</t>
        </is>
      </c>
      <c r="D15" s="8" t="inlineStr">
        <is>
          <t>COGS</t>
        </is>
      </c>
      <c r="E15" s="8" t="inlineStr"/>
      <c r="F15" s="8" t="inlineStr">
        <is>
          <t>小食</t>
        </is>
      </c>
      <c r="H15" t="inlineStr">
        <is>
          <t>Nuts / snacks</t>
        </is>
      </c>
    </row>
    <row r="16">
      <c r="A16" s="8" t="inlineStr">
        <is>
          <t>5030</t>
        </is>
      </c>
      <c r="B16" s="8" t="inlineStr">
        <is>
          <t>Wine cost</t>
        </is>
      </c>
      <c r="C16" s="8" t="inlineStr">
        <is>
          <t>COGS</t>
        </is>
      </c>
      <c r="D16" s="8" t="inlineStr">
        <is>
          <t>COGS</t>
        </is>
      </c>
      <c r="E16" s="8" t="inlineStr"/>
      <c r="F16" s="8" t="inlineStr">
        <is>
          <t>葡萄酒進貨</t>
        </is>
      </c>
      <c r="H16" t="inlineStr">
        <is>
          <t>Wine cost</t>
        </is>
      </c>
    </row>
    <row r="17">
      <c r="A17" s="8" t="inlineStr">
        <is>
          <t>5090</t>
        </is>
      </c>
      <c r="B17" s="8" t="inlineStr">
        <is>
          <t>Other COGS</t>
        </is>
      </c>
      <c r="C17" s="8" t="inlineStr">
        <is>
          <t>COGS</t>
        </is>
      </c>
      <c r="D17" s="8" t="inlineStr">
        <is>
          <t>COGS</t>
        </is>
      </c>
      <c r="E17" s="8" t="inlineStr"/>
      <c r="F17" s="8" t="inlineStr">
        <is>
          <t>其他進貨</t>
        </is>
      </c>
      <c r="H17" t="inlineStr">
        <is>
          <t>Other COGS</t>
        </is>
      </c>
    </row>
    <row r="18">
      <c r="A18" s="9" t="inlineStr">
        <is>
          <t>6000</t>
        </is>
      </c>
      <c r="B18" s="9" t="inlineStr">
        <is>
          <t>Rent</t>
        </is>
      </c>
      <c r="C18" s="9" t="inlineStr">
        <is>
          <t>Expense</t>
        </is>
      </c>
      <c r="D18" s="9" t="inlineStr">
        <is>
          <t>Operating expenses</t>
        </is>
      </c>
      <c r="E18" s="9" t="inlineStr"/>
      <c r="F18" s="9" t="inlineStr"/>
      <c r="H18" t="inlineStr">
        <is>
          <t>Rent</t>
        </is>
      </c>
    </row>
    <row r="19">
      <c r="A19" s="9" t="inlineStr">
        <is>
          <t>6010</t>
        </is>
      </c>
      <c r="B19" s="9" t="inlineStr">
        <is>
          <t>Management fee</t>
        </is>
      </c>
      <c r="C19" s="9" t="inlineStr">
        <is>
          <t>Expense</t>
        </is>
      </c>
      <c r="D19" s="9" t="inlineStr">
        <is>
          <t>Operating expenses</t>
        </is>
      </c>
      <c r="E19" s="9" t="inlineStr"/>
      <c r="F19" s="9" t="inlineStr"/>
      <c r="H19" t="inlineStr">
        <is>
          <t>Management fee</t>
        </is>
      </c>
    </row>
    <row r="20">
      <c r="A20" s="9" t="inlineStr">
        <is>
          <t>6020</t>
        </is>
      </c>
      <c r="B20" s="9" t="inlineStr">
        <is>
          <t>Rates (差餉)</t>
        </is>
      </c>
      <c r="C20" s="9" t="inlineStr">
        <is>
          <t>Expense</t>
        </is>
      </c>
      <c r="D20" s="9" t="inlineStr">
        <is>
          <t>Operating expenses</t>
        </is>
      </c>
      <c r="E20" s="9" t="inlineStr"/>
      <c r="F20" s="9" t="inlineStr"/>
      <c r="H20" t="inlineStr">
        <is>
          <t>Rates (差餉)</t>
        </is>
      </c>
    </row>
    <row r="21">
      <c r="A21" s="9" t="inlineStr">
        <is>
          <t>6100</t>
        </is>
      </c>
      <c r="B21" s="9" t="inlineStr">
        <is>
          <t>Wages</t>
        </is>
      </c>
      <c r="C21" s="9" t="inlineStr">
        <is>
          <t>Expense</t>
        </is>
      </c>
      <c r="D21" s="9" t="inlineStr">
        <is>
          <t>Staff costs</t>
        </is>
      </c>
      <c r="E21" s="9" t="inlineStr"/>
      <c r="F21" s="9" t="inlineStr">
        <is>
          <t>人工／外勞</t>
        </is>
      </c>
      <c r="H21" t="inlineStr">
        <is>
          <t>Wages</t>
        </is>
      </c>
    </row>
    <row r="22">
      <c r="A22" s="9" t="inlineStr">
        <is>
          <t>6200</t>
        </is>
      </c>
      <c r="B22" s="9" t="inlineStr">
        <is>
          <t>Electricity</t>
        </is>
      </c>
      <c r="C22" s="9" t="inlineStr">
        <is>
          <t>Expense</t>
        </is>
      </c>
      <c r="D22" s="9" t="inlineStr">
        <is>
          <t>Utilities</t>
        </is>
      </c>
      <c r="E22" s="9" t="inlineStr"/>
      <c r="F22" s="9" t="inlineStr">
        <is>
          <t>HKE</t>
        </is>
      </c>
      <c r="H22" t="inlineStr">
        <is>
          <t>Electricity</t>
        </is>
      </c>
    </row>
    <row r="23">
      <c r="A23" s="9" t="inlineStr">
        <is>
          <t>6210</t>
        </is>
      </c>
      <c r="B23" s="9" t="inlineStr">
        <is>
          <t>Water</t>
        </is>
      </c>
      <c r="C23" s="9" t="inlineStr">
        <is>
          <t>Expense</t>
        </is>
      </c>
      <c r="D23" s="9" t="inlineStr">
        <is>
          <t>Utilities</t>
        </is>
      </c>
      <c r="E23" s="9" t="inlineStr"/>
      <c r="F23" s="9" t="inlineStr"/>
      <c r="H23" t="inlineStr">
        <is>
          <t>Water</t>
        </is>
      </c>
    </row>
    <row r="24">
      <c r="A24" s="9" t="inlineStr">
        <is>
          <t>6220</t>
        </is>
      </c>
      <c r="B24" s="9" t="inlineStr">
        <is>
          <t>Internet</t>
        </is>
      </c>
      <c r="C24" s="9" t="inlineStr">
        <is>
          <t>Expense</t>
        </is>
      </c>
      <c r="D24" s="9" t="inlineStr">
        <is>
          <t>Utilities</t>
        </is>
      </c>
      <c r="E24" s="9" t="inlineStr"/>
      <c r="F24" s="9" t="inlineStr">
        <is>
          <t>HKBN</t>
        </is>
      </c>
      <c r="H24" t="inlineStr">
        <is>
          <t>Internet</t>
        </is>
      </c>
    </row>
    <row r="25">
      <c r="A25" s="9" t="inlineStr">
        <is>
          <t>6300</t>
        </is>
      </c>
      <c r="B25" s="9" t="inlineStr">
        <is>
          <t>Marketing fee</t>
        </is>
      </c>
      <c r="C25" s="9" t="inlineStr">
        <is>
          <t>Expense</t>
        </is>
      </c>
      <c r="D25" s="9" t="inlineStr">
        <is>
          <t>Operating expenses</t>
        </is>
      </c>
      <c r="E25" s="9" t="inlineStr"/>
      <c r="F25" s="9" t="inlineStr"/>
      <c r="H25" t="inlineStr">
        <is>
          <t>Marketing fee</t>
        </is>
      </c>
    </row>
    <row r="26">
      <c r="A26" s="9" t="inlineStr">
        <is>
          <t>6400</t>
        </is>
      </c>
      <c r="B26" s="9" t="inlineStr">
        <is>
          <t>Claim</t>
        </is>
      </c>
      <c r="C26" s="9" t="inlineStr">
        <is>
          <t>Expense</t>
        </is>
      </c>
      <c r="D26" s="9" t="inlineStr">
        <is>
          <t>Claims</t>
        </is>
      </c>
      <c r="E26" s="9" t="inlineStr"/>
      <c r="F26" s="9" t="inlineStr">
        <is>
          <t>員工墊支報銷（銀行／現金）</t>
        </is>
      </c>
      <c r="H26" t="inlineStr">
        <is>
          <t>Claim</t>
        </is>
      </c>
    </row>
    <row r="27">
      <c r="A27" s="9" t="inlineStr">
        <is>
          <t>6500</t>
        </is>
      </c>
      <c r="B27" s="9" t="inlineStr">
        <is>
          <t>Repairs &amp; maintenance</t>
        </is>
      </c>
      <c r="C27" s="9" t="inlineStr">
        <is>
          <t>Expense</t>
        </is>
      </c>
      <c r="D27" s="9" t="inlineStr">
        <is>
          <t>Operating expenses</t>
        </is>
      </c>
      <c r="E27" s="9" t="inlineStr"/>
      <c r="F27" s="9" t="inlineStr"/>
      <c r="H27" t="inlineStr">
        <is>
          <t>Repairs &amp; maintenance</t>
        </is>
      </c>
    </row>
    <row r="28">
      <c r="A28" s="9" t="inlineStr">
        <is>
          <t>6900</t>
        </is>
      </c>
      <c r="B28" s="9" t="inlineStr">
        <is>
          <t>Miscellaneous</t>
        </is>
      </c>
      <c r="C28" s="9" t="inlineStr">
        <is>
          <t>Expense</t>
        </is>
      </c>
      <c r="D28" s="9" t="inlineStr">
        <is>
          <t>Operating expenses</t>
        </is>
      </c>
      <c r="E28" s="9" t="inlineStr"/>
      <c r="F28" s="9" t="inlineStr"/>
      <c r="H28" t="inlineStr">
        <is>
          <t>Miscellaneous</t>
        </is>
      </c>
    </row>
    <row r="29">
      <c r="A29" s="9" t="inlineStr">
        <is>
          <t>6910</t>
        </is>
      </c>
      <c r="B29" s="9" t="inlineStr">
        <is>
          <t>Membership / BNI</t>
        </is>
      </c>
      <c r="C29" s="9" t="inlineStr">
        <is>
          <t>Expense</t>
        </is>
      </c>
      <c r="D29" s="9" t="inlineStr">
        <is>
          <t>Operating expenses</t>
        </is>
      </c>
      <c r="E29" s="9" t="inlineStr"/>
      <c r="F29" s="9" t="inlineStr"/>
      <c r="H29" t="inlineStr">
        <is>
          <t>Membership / BNI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2" customWidth="1" min="11" max="11"/>
    <col width="10" customWidth="1" min="12" max="12"/>
    <col width="14" customWidth="1" min="13" max="13"/>
    <col width="22" customWidth="1" min="14" max="14"/>
    <col width="28" customWidth="1" min="16" max="16"/>
    <col width="14" customWidth="1" min="17" max="17"/>
  </cols>
  <sheetData>
    <row r="1">
      <c r="A1" s="1" t="inlineStr">
        <is>
          <t>Daily_Sales — auto from Polar Order</t>
        </is>
      </c>
    </row>
    <row r="2">
      <c r="A2" s="3" t="inlineStr">
        <is>
          <t>唔好人手改呢啲數字。系統 Sync 會按 business_date upsert。Cash Tilt／Claim 喺 Order Reports 入完先 sync。</t>
        </is>
      </c>
    </row>
    <row r="3" ht="48" customHeight="1">
      <c r="A3" s="28" t="inlineStr">
        <is>
          <t>Bridge: until Render points Sync at THIS workbook, pull live rows with (Google Sheets only): =IMPORTRANGE("1GBFYoOa6oBSTono0b6qy8qX6mKQSbOsnaoWTzP-LiIY","Daily_Sales!A2:N") in A5 — or keep Sync writing here after you convert this file to Google Sheets.</t>
        </is>
      </c>
      <c r="P3" s="2" t="inlineStr">
        <is>
          <t>Helpers (auto)</t>
        </is>
      </c>
    </row>
    <row r="4">
      <c r="A4" s="10" t="inlineStr">
        <is>
          <t>business_date</t>
        </is>
      </c>
      <c r="B4" s="10" t="inlineStr">
        <is>
          <t>Cash</t>
        </is>
      </c>
      <c r="C4" s="10" t="inlineStr">
        <is>
          <t>Visa</t>
        </is>
      </c>
      <c r="D4" s="10" t="inlineStr">
        <is>
          <t>Master</t>
        </is>
      </c>
      <c r="E4" s="10" t="inlineStr">
        <is>
          <t>AE</t>
        </is>
      </c>
      <c r="F4" s="10" t="inlineStr">
        <is>
          <t>Alipay</t>
        </is>
      </c>
      <c r="G4" s="10" t="inlineStr">
        <is>
          <t>UnionPay</t>
        </is>
      </c>
      <c r="H4" s="10" t="inlineStr">
        <is>
          <t>WeChat pay</t>
        </is>
      </c>
      <c r="I4" s="10" t="inlineStr">
        <is>
          <t>Deposit</t>
        </is>
      </c>
      <c r="J4" s="10" t="inlineStr">
        <is>
          <t>Claim</t>
        </is>
      </c>
      <c r="K4" s="10" t="inlineStr">
        <is>
          <t>Daily Sales</t>
        </is>
      </c>
      <c r="L4" s="10" t="inlineStr">
        <is>
          <t>Cash Tilt</t>
        </is>
      </c>
      <c r="M4" s="10" t="inlineStr">
        <is>
          <t>Monthly Total</t>
        </is>
      </c>
      <c r="N4" s="10" t="inlineStr">
        <is>
          <t>synced_at</t>
        </is>
      </c>
      <c r="P4" t="inlineStr">
        <is>
          <t>Report year</t>
        </is>
      </c>
      <c r="Q4" s="11" t="n">
        <v>2026</v>
      </c>
    </row>
    <row r="5">
      <c r="A5" s="6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6" t="n"/>
      <c r="P5" t="inlineStr">
        <is>
          <t>Report month (1-12)</t>
        </is>
      </c>
      <c r="Q5" s="11" t="n">
        <v>10</v>
      </c>
    </row>
    <row r="6">
      <c r="A6" s="6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6" t="n"/>
      <c r="P6" t="inlineStr">
        <is>
          <t>Month sales (Daily Sales col)</t>
        </is>
      </c>
      <c r="Q6" s="13">
        <f>SUMIFS(K:K,A:A,"&gt;="&amp;TEXT(DATE(Q4,Q5,1),"yyyy-mm-dd"),A:A,"&lt;"&amp;TEXT(DATE(Q4,Q5+1,1),"yyyy-mm-dd"))</f>
        <v/>
      </c>
    </row>
    <row r="7">
      <c r="A7" s="6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6" t="n"/>
      <c r="P7" t="inlineStr">
        <is>
          <t>Month claims (sheet)</t>
        </is>
      </c>
      <c r="Q7" s="13">
        <f>SUMIFS(J:J,A:A,"&gt;="&amp;TEXT(DATE(Q4,Q5,1),"yyyy-mm-dd"),A:A,"&lt;"&amp;TEXT(DATE(Q4,Q5+1,1),"yyyy-mm-dd"))</f>
        <v/>
      </c>
    </row>
    <row r="8">
      <c r="A8" s="6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6" t="n"/>
      <c r="P8" t="inlineStr">
        <is>
          <t>Month cash tilt (last nonblank approx = sum)</t>
        </is>
      </c>
      <c r="Q8" s="13">
        <f>SUMIFS(L:L,A:A,"&gt;="&amp;TEXT(DATE(Q4,Q5,1),"yyyy-mm-dd"),A:A,"&lt;"&amp;TEXT(DATE(Q4,Q5+1,1),"yyyy-mm-dd"))</f>
        <v/>
      </c>
    </row>
    <row r="9">
      <c r="A9" s="6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6" t="n"/>
      <c r="P9" t="inlineStr">
        <is>
          <t>YTD sales</t>
        </is>
      </c>
      <c r="Q9" s="13">
        <f>SUMIFS(K:K,A:A,"&gt;="&amp;TEXT(DATE(Q4,1,1),"yyyy-mm-dd"),A:A,"&lt;"&amp;TEXT(DATE(Q4+1,1,1),"yyyy-mm-dd"))</f>
        <v/>
      </c>
    </row>
    <row r="10">
      <c r="A10" s="6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6" t="n"/>
      <c r="P10" t="inlineStr">
        <is>
          <t>Latest Cash Tilt</t>
        </is>
      </c>
      <c r="Q10" s="13">
        <f>IFERROR(LOOKUP(2,1/(A5:A1000&lt;&gt;""),L5:L1000),0)</f>
        <v/>
      </c>
    </row>
    <row r="11">
      <c r="A11" s="6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6" t="n"/>
    </row>
    <row r="12">
      <c r="A12" s="6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6" t="n"/>
    </row>
    <row r="13">
      <c r="A13" s="6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6" t="n"/>
    </row>
    <row r="14">
      <c r="A14" s="6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6" t="n"/>
    </row>
    <row r="15">
      <c r="A15" s="6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6" t="n"/>
    </row>
    <row r="16">
      <c r="A16" s="6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6" t="n"/>
    </row>
    <row r="17">
      <c r="A17" s="6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6" t="n"/>
    </row>
    <row r="18">
      <c r="A18" s="6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6" t="n"/>
    </row>
    <row r="19">
      <c r="A19" s="6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6" t="n"/>
    </row>
    <row r="20">
      <c r="A20" s="6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6" t="n"/>
    </row>
    <row r="21">
      <c r="A21" s="6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6" t="n"/>
    </row>
    <row r="22">
      <c r="A22" s="6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6" t="n"/>
    </row>
    <row r="23">
      <c r="A23" s="6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6" t="n"/>
    </row>
    <row r="24">
      <c r="A24" s="6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6" t="n"/>
    </row>
    <row r="25">
      <c r="A25" s="6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6" t="n"/>
    </row>
    <row r="26">
      <c r="A26" s="6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6" t="n"/>
    </row>
    <row r="27">
      <c r="A27" s="6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6" t="n"/>
    </row>
    <row r="28">
      <c r="A28" s="6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6" t="n"/>
    </row>
    <row r="29">
      <c r="A29" s="6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6" t="n"/>
    </row>
    <row r="30">
      <c r="A30" s="6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6" t="n"/>
    </row>
    <row r="31">
      <c r="A31" s="6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6" t="n"/>
    </row>
    <row r="32">
      <c r="A32" s="6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6" t="n"/>
    </row>
    <row r="33">
      <c r="A33" s="6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6" t="n"/>
    </row>
    <row r="34">
      <c r="A34" s="6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6" t="n"/>
    </row>
    <row r="35">
      <c r="A35" s="6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6" t="n"/>
    </row>
    <row r="36">
      <c r="A36" s="6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6" t="n"/>
    </row>
    <row r="37">
      <c r="A37" s="6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6" t="n"/>
    </row>
    <row r="38">
      <c r="A38" s="6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6" t="n"/>
    </row>
    <row r="39">
      <c r="A39" s="6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0" customWidth="1" min="3" max="3"/>
    <col width="12" customWidth="1" min="4" max="4"/>
    <col width="12" customWidth="1" min="5" max="5"/>
    <col width="22" customWidth="1" min="6" max="6"/>
    <col width="12" customWidth="1" min="7" max="7"/>
    <col width="16" customWidth="1" min="8" max="8"/>
    <col width="28" customWidth="1" min="9" max="9"/>
    <col width="36" customWidth="1" min="11" max="11"/>
    <col width="14" customWidth="1" min="12" max="12"/>
  </cols>
  <sheetData>
    <row r="1">
      <c r="A1" s="1" t="inlineStr">
        <is>
          <t>Bank_Entries — 你入（黃色格）</t>
        </is>
      </c>
    </row>
    <row r="2">
      <c r="A2" s="3" t="inlineStr">
        <is>
          <t>由 HSBC / 銀行 app 抄過嚟。金額：入數用正數，出數用負數。SA／CA 分兩欄填其中一欄即可。Nature 用下拉。</t>
        </is>
      </c>
    </row>
    <row r="3">
      <c r="A3" s="3" t="inlineStr">
        <is>
          <t>Partner cash in / Partner drawings / Sales 等 Nature 會自動入 P&amp;L 或 Equity。</t>
        </is>
      </c>
    </row>
    <row r="4">
      <c r="K4" s="2" t="inlineStr">
        <is>
          <t>Bank helpers</t>
        </is>
      </c>
    </row>
    <row r="5">
      <c r="A5" s="4" t="inlineStr">
        <is>
          <t>date</t>
        </is>
      </c>
      <c r="B5" s="4" t="inlineStr">
        <is>
          <t>memo</t>
        </is>
      </c>
      <c r="C5" s="4" t="inlineStr">
        <is>
          <t>chq_no</t>
        </is>
      </c>
      <c r="D5" s="4" t="inlineStr">
        <is>
          <t>hsbc_sa</t>
        </is>
      </c>
      <c r="E5" s="4" t="inlineStr">
        <is>
          <t>hsbc_ca</t>
        </is>
      </c>
      <c r="F5" s="4" t="inlineStr">
        <is>
          <t>nature</t>
        </is>
      </c>
      <c r="G5" s="4" t="inlineStr">
        <is>
          <t>account_code</t>
        </is>
      </c>
      <c r="H5" s="4" t="inlineStr">
        <is>
          <t>linked_sales_date</t>
        </is>
      </c>
      <c r="I5" s="4" t="inlineStr">
        <is>
          <t>notes</t>
        </is>
      </c>
      <c r="K5" t="inlineStr">
        <is>
          <t>HSBC SA balance (sum)</t>
        </is>
      </c>
      <c r="L5" s="13">
        <f>SUM(D6:D500)</f>
        <v/>
      </c>
    </row>
    <row r="6">
      <c r="A6" s="14" t="n"/>
      <c r="B6" s="14" t="n"/>
      <c r="C6" s="14" t="n"/>
      <c r="D6" s="15" t="n"/>
      <c r="E6" s="15" t="n"/>
      <c r="F6" s="14" t="n"/>
      <c r="G6" s="14">
        <f>IF(F6="","",IFERROR(INDEX(Chart_of_Accounts!$A$5:$A$30,MATCH(F6,Chart_of_Accounts!$B$5:$B$30,0)),""))</f>
        <v/>
      </c>
      <c r="H6" s="14" t="n"/>
      <c r="I6" s="14" t="n"/>
      <c r="K6" t="inlineStr">
        <is>
          <t>HSBC CA balance (sum)</t>
        </is>
      </c>
      <c r="L6" s="13">
        <f>SUM(E6:E500)</f>
        <v/>
      </c>
    </row>
    <row r="7">
      <c r="A7" s="14" t="n"/>
      <c r="B7" s="14" t="n"/>
      <c r="C7" s="14" t="n"/>
      <c r="D7" s="15" t="n"/>
      <c r="E7" s="15" t="n"/>
      <c r="F7" s="14" t="n"/>
      <c r="G7" s="14">
        <f>IF(F7="","",IFERROR(INDEX(Chart_of_Accounts!$A$5:$A$30,MATCH(F7,Chart_of_Accounts!$B$5:$B$30,0)),""))</f>
        <v/>
      </c>
      <c r="H7" s="14" t="n"/>
      <c r="I7" s="14" t="n"/>
      <c r="K7" t="inlineStr">
        <is>
          <t>Total bank</t>
        </is>
      </c>
      <c r="L7" s="13">
        <f>L5+L6</f>
        <v/>
      </c>
    </row>
    <row r="8">
      <c r="A8" s="14" t="n"/>
      <c r="B8" s="14" t="n"/>
      <c r="C8" s="14" t="n"/>
      <c r="D8" s="15" t="n"/>
      <c r="E8" s="15" t="n"/>
      <c r="F8" s="14" t="n"/>
      <c r="G8" s="14">
        <f>IF(F8="","",IFERROR(INDEX(Chart_of_Accounts!$A$5:$A$30,MATCH(F8,Chart_of_Accounts!$B$5:$B$30,0)),""))</f>
        <v/>
      </c>
      <c r="H8" s="14" t="n"/>
      <c r="I8" s="14" t="n"/>
      <c r="K8" t="inlineStr">
        <is>
          <t>Selected month bank outflows (expenses/cogs)</t>
        </is>
      </c>
      <c r="L8" t="inlineStr">
        <is>
          <t>(see P&amp;L)</t>
        </is>
      </c>
    </row>
    <row r="9">
      <c r="A9" s="14" t="n"/>
      <c r="B9" s="14" t="n"/>
      <c r="C9" s="14" t="n"/>
      <c r="D9" s="15" t="n"/>
      <c r="E9" s="15" t="n"/>
      <c r="F9" s="14" t="n"/>
      <c r="G9" s="14">
        <f>IF(F9="","",IFERROR(INDEX(Chart_of_Accounts!$A$5:$A$30,MATCH(F9,Chart_of_Accounts!$B$5:$B$30,0)),""))</f>
        <v/>
      </c>
      <c r="H9" s="14" t="n"/>
      <c r="I9" s="14" t="n"/>
    </row>
    <row r="10">
      <c r="A10" s="14" t="n"/>
      <c r="B10" s="14" t="n"/>
      <c r="C10" s="14" t="n"/>
      <c r="D10" s="15" t="n"/>
      <c r="E10" s="15" t="n"/>
      <c r="F10" s="14" t="n"/>
      <c r="G10" s="14">
        <f>IF(F10="","",IFERROR(INDEX(Chart_of_Accounts!$A$5:$A$30,MATCH(F10,Chart_of_Accounts!$B$5:$B$30,0)),""))</f>
        <v/>
      </c>
      <c r="H10" s="14" t="n"/>
      <c r="I10" s="14" t="n"/>
    </row>
    <row r="11">
      <c r="A11" s="14" t="n"/>
      <c r="B11" s="14" t="n"/>
      <c r="C11" s="14" t="n"/>
      <c r="D11" s="15" t="n"/>
      <c r="E11" s="15" t="n"/>
      <c r="F11" s="14" t="n"/>
      <c r="G11" s="14">
        <f>IF(F11="","",IFERROR(INDEX(Chart_of_Accounts!$A$5:$A$30,MATCH(F11,Chart_of_Accounts!$B$5:$B$30,0)),""))</f>
        <v/>
      </c>
      <c r="H11" s="14" t="n"/>
      <c r="I11" s="14" t="n"/>
    </row>
    <row r="12">
      <c r="A12" s="14" t="n"/>
      <c r="B12" s="14" t="n"/>
      <c r="C12" s="14" t="n"/>
      <c r="D12" s="15" t="n"/>
      <c r="E12" s="15" t="n"/>
      <c r="F12" s="14" t="n"/>
      <c r="G12" s="14">
        <f>IF(F12="","",IFERROR(INDEX(Chart_of_Accounts!$A$5:$A$30,MATCH(F12,Chart_of_Accounts!$B$5:$B$30,0)),""))</f>
        <v/>
      </c>
      <c r="H12" s="14" t="n"/>
      <c r="I12" s="14" t="n"/>
    </row>
    <row r="13">
      <c r="A13" s="14" t="n"/>
      <c r="B13" s="14" t="n"/>
      <c r="C13" s="14" t="n"/>
      <c r="D13" s="15" t="n"/>
      <c r="E13" s="15" t="n"/>
      <c r="F13" s="14" t="n"/>
      <c r="G13" s="14">
        <f>IF(F13="","",IFERROR(INDEX(Chart_of_Accounts!$A$5:$A$30,MATCH(F13,Chart_of_Accounts!$B$5:$B$30,0)),""))</f>
        <v/>
      </c>
      <c r="H13" s="14" t="n"/>
      <c r="I13" s="14" t="n"/>
    </row>
    <row r="14">
      <c r="A14" s="14" t="n"/>
      <c r="B14" s="14" t="n"/>
      <c r="C14" s="14" t="n"/>
      <c r="D14" s="15" t="n"/>
      <c r="E14" s="15" t="n"/>
      <c r="F14" s="14" t="n"/>
      <c r="G14" s="14">
        <f>IF(F14="","",IFERROR(INDEX(Chart_of_Accounts!$A$5:$A$30,MATCH(F14,Chart_of_Accounts!$B$5:$B$30,0)),""))</f>
        <v/>
      </c>
      <c r="H14" s="14" t="n"/>
      <c r="I14" s="14" t="n"/>
    </row>
    <row r="15">
      <c r="A15" s="14" t="n"/>
      <c r="B15" s="14" t="n"/>
      <c r="C15" s="14" t="n"/>
      <c r="D15" s="15" t="n"/>
      <c r="E15" s="15" t="n"/>
      <c r="F15" s="14" t="n"/>
      <c r="G15" s="14">
        <f>IF(F15="","",IFERROR(INDEX(Chart_of_Accounts!$A$5:$A$30,MATCH(F15,Chart_of_Accounts!$B$5:$B$30,0)),""))</f>
        <v/>
      </c>
      <c r="H15" s="14" t="n"/>
      <c r="I15" s="14" t="n"/>
    </row>
    <row r="16">
      <c r="A16" s="14" t="n"/>
      <c r="B16" s="14" t="n"/>
      <c r="C16" s="14" t="n"/>
      <c r="D16" s="15" t="n"/>
      <c r="E16" s="15" t="n"/>
      <c r="F16" s="14" t="n"/>
      <c r="G16" s="14">
        <f>IF(F16="","",IFERROR(INDEX(Chart_of_Accounts!$A$5:$A$30,MATCH(F16,Chart_of_Accounts!$B$5:$B$30,0)),""))</f>
        <v/>
      </c>
      <c r="H16" s="14" t="n"/>
      <c r="I16" s="14" t="n"/>
    </row>
    <row r="17">
      <c r="A17" s="14" t="n"/>
      <c r="B17" s="14" t="n"/>
      <c r="C17" s="14" t="n"/>
      <c r="D17" s="15" t="n"/>
      <c r="E17" s="15" t="n"/>
      <c r="F17" s="14" t="n"/>
      <c r="G17" s="14">
        <f>IF(F17="","",IFERROR(INDEX(Chart_of_Accounts!$A$5:$A$30,MATCH(F17,Chart_of_Accounts!$B$5:$B$30,0)),""))</f>
        <v/>
      </c>
      <c r="H17" s="14" t="n"/>
      <c r="I17" s="14" t="n"/>
    </row>
    <row r="18">
      <c r="A18" s="14" t="n"/>
      <c r="B18" s="14" t="n"/>
      <c r="C18" s="14" t="n"/>
      <c r="D18" s="15" t="n"/>
      <c r="E18" s="15" t="n"/>
      <c r="F18" s="14" t="n"/>
      <c r="G18" s="14">
        <f>IF(F18="","",IFERROR(INDEX(Chart_of_Accounts!$A$5:$A$30,MATCH(F18,Chart_of_Accounts!$B$5:$B$30,0)),""))</f>
        <v/>
      </c>
      <c r="H18" s="14" t="n"/>
      <c r="I18" s="14" t="n"/>
    </row>
    <row r="19">
      <c r="A19" s="14" t="n"/>
      <c r="B19" s="14" t="n"/>
      <c r="C19" s="14" t="n"/>
      <c r="D19" s="15" t="n"/>
      <c r="E19" s="15" t="n"/>
      <c r="F19" s="14" t="n"/>
      <c r="G19" s="14">
        <f>IF(F19="","",IFERROR(INDEX(Chart_of_Accounts!$A$5:$A$30,MATCH(F19,Chart_of_Accounts!$B$5:$B$30,0)),""))</f>
        <v/>
      </c>
      <c r="H19" s="14" t="n"/>
      <c r="I19" s="14" t="n"/>
    </row>
    <row r="20">
      <c r="A20" s="14" t="n"/>
      <c r="B20" s="14" t="n"/>
      <c r="C20" s="14" t="n"/>
      <c r="D20" s="15" t="n"/>
      <c r="E20" s="15" t="n"/>
      <c r="F20" s="14" t="n"/>
      <c r="G20" s="14">
        <f>IF(F20="","",IFERROR(INDEX(Chart_of_Accounts!$A$5:$A$30,MATCH(F20,Chart_of_Accounts!$B$5:$B$30,0)),""))</f>
        <v/>
      </c>
      <c r="H20" s="14" t="n"/>
      <c r="I20" s="14" t="n"/>
    </row>
    <row r="21">
      <c r="A21" s="14" t="n"/>
      <c r="B21" s="14" t="n"/>
      <c r="C21" s="14" t="n"/>
      <c r="D21" s="15" t="n"/>
      <c r="E21" s="15" t="n"/>
      <c r="F21" s="14" t="n"/>
      <c r="G21" s="14">
        <f>IF(F21="","",IFERROR(INDEX(Chart_of_Accounts!$A$5:$A$30,MATCH(F21,Chart_of_Accounts!$B$5:$B$30,0)),""))</f>
        <v/>
      </c>
      <c r="H21" s="14" t="n"/>
      <c r="I21" s="14" t="n"/>
    </row>
    <row r="22">
      <c r="A22" s="14" t="n"/>
      <c r="B22" s="14" t="n"/>
      <c r="C22" s="14" t="n"/>
      <c r="D22" s="15" t="n"/>
      <c r="E22" s="15" t="n"/>
      <c r="F22" s="14" t="n"/>
      <c r="G22" s="14">
        <f>IF(F22="","",IFERROR(INDEX(Chart_of_Accounts!$A$5:$A$30,MATCH(F22,Chart_of_Accounts!$B$5:$B$30,0)),""))</f>
        <v/>
      </c>
      <c r="H22" s="14" t="n"/>
      <c r="I22" s="14" t="n"/>
    </row>
    <row r="23">
      <c r="A23" s="14" t="n"/>
      <c r="B23" s="14" t="n"/>
      <c r="C23" s="14" t="n"/>
      <c r="D23" s="15" t="n"/>
      <c r="E23" s="15" t="n"/>
      <c r="F23" s="14" t="n"/>
      <c r="G23" s="14">
        <f>IF(F23="","",IFERROR(INDEX(Chart_of_Accounts!$A$5:$A$30,MATCH(F23,Chart_of_Accounts!$B$5:$B$30,0)),""))</f>
        <v/>
      </c>
      <c r="H23" s="14" t="n"/>
      <c r="I23" s="14" t="n"/>
    </row>
    <row r="24">
      <c r="A24" s="14" t="n"/>
      <c r="B24" s="14" t="n"/>
      <c r="C24" s="14" t="n"/>
      <c r="D24" s="15" t="n"/>
      <c r="E24" s="15" t="n"/>
      <c r="F24" s="14" t="n"/>
      <c r="G24" s="14">
        <f>IF(F24="","",IFERROR(INDEX(Chart_of_Accounts!$A$5:$A$30,MATCH(F24,Chart_of_Accounts!$B$5:$B$30,0)),""))</f>
        <v/>
      </c>
      <c r="H24" s="14" t="n"/>
      <c r="I24" s="14" t="n"/>
    </row>
    <row r="25">
      <c r="A25" s="14" t="n"/>
      <c r="B25" s="14" t="n"/>
      <c r="C25" s="14" t="n"/>
      <c r="D25" s="15" t="n"/>
      <c r="E25" s="15" t="n"/>
      <c r="F25" s="14" t="n"/>
      <c r="G25" s="14">
        <f>IF(F25="","",IFERROR(INDEX(Chart_of_Accounts!$A$5:$A$30,MATCH(F25,Chart_of_Accounts!$B$5:$B$30,0)),""))</f>
        <v/>
      </c>
      <c r="H25" s="14" t="n"/>
      <c r="I25" s="14" t="n"/>
    </row>
    <row r="26">
      <c r="A26" s="14" t="n"/>
      <c r="B26" s="14" t="n"/>
      <c r="C26" s="14" t="n"/>
      <c r="D26" s="15" t="n"/>
      <c r="E26" s="15" t="n"/>
      <c r="F26" s="14" t="n"/>
      <c r="G26" s="14">
        <f>IF(F26="","",IFERROR(INDEX(Chart_of_Accounts!$A$5:$A$30,MATCH(F26,Chart_of_Accounts!$B$5:$B$30,0)),""))</f>
        <v/>
      </c>
      <c r="H26" s="14" t="n"/>
      <c r="I26" s="14" t="n"/>
    </row>
    <row r="27">
      <c r="A27" s="14" t="n"/>
      <c r="B27" s="14" t="n"/>
      <c r="C27" s="14" t="n"/>
      <c r="D27" s="15" t="n"/>
      <c r="E27" s="15" t="n"/>
      <c r="F27" s="14" t="n"/>
      <c r="G27" s="14">
        <f>IF(F27="","",IFERROR(INDEX(Chart_of_Accounts!$A$5:$A$30,MATCH(F27,Chart_of_Accounts!$B$5:$B$30,0)),""))</f>
        <v/>
      </c>
      <c r="H27" s="14" t="n"/>
      <c r="I27" s="14" t="n"/>
    </row>
    <row r="28">
      <c r="A28" s="14" t="n"/>
      <c r="B28" s="14" t="n"/>
      <c r="C28" s="14" t="n"/>
      <c r="D28" s="15" t="n"/>
      <c r="E28" s="15" t="n"/>
      <c r="F28" s="14" t="n"/>
      <c r="G28" s="14">
        <f>IF(F28="","",IFERROR(INDEX(Chart_of_Accounts!$A$5:$A$30,MATCH(F28,Chart_of_Accounts!$B$5:$B$30,0)),""))</f>
        <v/>
      </c>
      <c r="H28" s="14" t="n"/>
      <c r="I28" s="14" t="n"/>
    </row>
    <row r="29">
      <c r="A29" s="14" t="n"/>
      <c r="B29" s="14" t="n"/>
      <c r="C29" s="14" t="n"/>
      <c r="D29" s="15" t="n"/>
      <c r="E29" s="15" t="n"/>
      <c r="F29" s="14" t="n"/>
      <c r="G29" s="14">
        <f>IF(F29="","",IFERROR(INDEX(Chart_of_Accounts!$A$5:$A$30,MATCH(F29,Chart_of_Accounts!$B$5:$B$30,0)),""))</f>
        <v/>
      </c>
      <c r="H29" s="14" t="n"/>
      <c r="I29" s="14" t="n"/>
    </row>
    <row r="30">
      <c r="A30" s="14" t="n"/>
      <c r="B30" s="14" t="n"/>
      <c r="C30" s="14" t="n"/>
      <c r="D30" s="15" t="n"/>
      <c r="E30" s="15" t="n"/>
      <c r="F30" s="14" t="n"/>
      <c r="G30" s="14">
        <f>IF(F30="","",IFERROR(INDEX(Chart_of_Accounts!$A$5:$A$30,MATCH(F30,Chart_of_Accounts!$B$5:$B$30,0)),""))</f>
        <v/>
      </c>
      <c r="H30" s="14" t="n"/>
      <c r="I30" s="14" t="n"/>
    </row>
    <row r="31">
      <c r="A31" s="14" t="n"/>
      <c r="B31" s="14" t="n"/>
      <c r="C31" s="14" t="n"/>
      <c r="D31" s="15" t="n"/>
      <c r="E31" s="15" t="n"/>
      <c r="F31" s="14" t="n"/>
      <c r="G31" s="14">
        <f>IF(F31="","",IFERROR(INDEX(Chart_of_Accounts!$A$5:$A$30,MATCH(F31,Chart_of_Accounts!$B$5:$B$30,0)),""))</f>
        <v/>
      </c>
      <c r="H31" s="14" t="n"/>
      <c r="I31" s="14" t="n"/>
    </row>
    <row r="32">
      <c r="A32" s="14" t="n"/>
      <c r="B32" s="14" t="n"/>
      <c r="C32" s="14" t="n"/>
      <c r="D32" s="15" t="n"/>
      <c r="E32" s="15" t="n"/>
      <c r="F32" s="14" t="n"/>
      <c r="G32" s="14">
        <f>IF(F32="","",IFERROR(INDEX(Chart_of_Accounts!$A$5:$A$30,MATCH(F32,Chart_of_Accounts!$B$5:$B$30,0)),""))</f>
        <v/>
      </c>
      <c r="H32" s="14" t="n"/>
      <c r="I32" s="14" t="n"/>
    </row>
    <row r="33">
      <c r="A33" s="14" t="n"/>
      <c r="B33" s="14" t="n"/>
      <c r="C33" s="14" t="n"/>
      <c r="D33" s="15" t="n"/>
      <c r="E33" s="15" t="n"/>
      <c r="F33" s="14" t="n"/>
      <c r="G33" s="14">
        <f>IF(F33="","",IFERROR(INDEX(Chart_of_Accounts!$A$5:$A$30,MATCH(F33,Chart_of_Accounts!$B$5:$B$30,0)),""))</f>
        <v/>
      </c>
      <c r="H33" s="14" t="n"/>
      <c r="I33" s="14" t="n"/>
    </row>
    <row r="34">
      <c r="A34" s="14" t="n"/>
      <c r="B34" s="14" t="n"/>
      <c r="C34" s="14" t="n"/>
      <c r="D34" s="15" t="n"/>
      <c r="E34" s="15" t="n"/>
      <c r="F34" s="14" t="n"/>
      <c r="G34" s="14">
        <f>IF(F34="","",IFERROR(INDEX(Chart_of_Accounts!$A$5:$A$30,MATCH(F34,Chart_of_Accounts!$B$5:$B$30,0)),""))</f>
        <v/>
      </c>
      <c r="H34" s="14" t="n"/>
      <c r="I34" s="14" t="n"/>
    </row>
    <row r="35">
      <c r="A35" s="14" t="n"/>
      <c r="B35" s="14" t="n"/>
      <c r="C35" s="14" t="n"/>
      <c r="D35" s="15" t="n"/>
      <c r="E35" s="15" t="n"/>
      <c r="F35" s="14" t="n"/>
      <c r="G35" s="14">
        <f>IF(F35="","",IFERROR(INDEX(Chart_of_Accounts!$A$5:$A$30,MATCH(F35,Chart_of_Accounts!$B$5:$B$30,0)),""))</f>
        <v/>
      </c>
      <c r="H35" s="14" t="n"/>
      <c r="I35" s="14" t="n"/>
    </row>
    <row r="36">
      <c r="A36" s="14" t="n"/>
      <c r="B36" s="14" t="n"/>
      <c r="C36" s="14" t="n"/>
      <c r="D36" s="15" t="n"/>
      <c r="E36" s="15" t="n"/>
      <c r="F36" s="14" t="n"/>
      <c r="G36" s="14">
        <f>IF(F36="","",IFERROR(INDEX(Chart_of_Accounts!$A$5:$A$30,MATCH(F36,Chart_of_Accounts!$B$5:$B$30,0)),""))</f>
        <v/>
      </c>
      <c r="H36" s="14" t="n"/>
      <c r="I36" s="14" t="n"/>
    </row>
    <row r="37">
      <c r="A37" s="14" t="n"/>
      <c r="B37" s="14" t="n"/>
      <c r="C37" s="14" t="n"/>
      <c r="D37" s="15" t="n"/>
      <c r="E37" s="15" t="n"/>
      <c r="F37" s="14" t="n"/>
      <c r="G37" s="14">
        <f>IF(F37="","",IFERROR(INDEX(Chart_of_Accounts!$A$5:$A$30,MATCH(F37,Chart_of_Accounts!$B$5:$B$30,0)),""))</f>
        <v/>
      </c>
      <c r="H37" s="14" t="n"/>
      <c r="I37" s="14" t="n"/>
    </row>
    <row r="38">
      <c r="A38" s="14" t="n"/>
      <c r="B38" s="14" t="n"/>
      <c r="C38" s="14" t="n"/>
      <c r="D38" s="15" t="n"/>
      <c r="E38" s="15" t="n"/>
      <c r="F38" s="14" t="n"/>
      <c r="G38" s="14">
        <f>IF(F38="","",IFERROR(INDEX(Chart_of_Accounts!$A$5:$A$30,MATCH(F38,Chart_of_Accounts!$B$5:$B$30,0)),""))</f>
        <v/>
      </c>
      <c r="H38" s="14" t="n"/>
      <c r="I38" s="14" t="n"/>
    </row>
    <row r="39">
      <c r="A39" s="14" t="n"/>
      <c r="B39" s="14" t="n"/>
      <c r="C39" s="14" t="n"/>
      <c r="D39" s="15" t="n"/>
      <c r="E39" s="15" t="n"/>
      <c r="F39" s="14" t="n"/>
      <c r="G39" s="14">
        <f>IF(F39="","",IFERROR(INDEX(Chart_of_Accounts!$A$5:$A$30,MATCH(F39,Chart_of_Accounts!$B$5:$B$30,0)),""))</f>
        <v/>
      </c>
      <c r="H39" s="14" t="n"/>
      <c r="I39" s="14" t="n"/>
    </row>
    <row r="40">
      <c r="A40" s="14" t="n"/>
      <c r="B40" s="14" t="n"/>
      <c r="C40" s="14" t="n"/>
      <c r="D40" s="15" t="n"/>
      <c r="E40" s="15" t="n"/>
      <c r="F40" s="14" t="n"/>
      <c r="G40" s="14">
        <f>IF(F40="","",IFERROR(INDEX(Chart_of_Accounts!$A$5:$A$30,MATCH(F40,Chart_of_Accounts!$B$5:$B$30,0)),""))</f>
        <v/>
      </c>
      <c r="H40" s="14" t="n"/>
      <c r="I40" s="14" t="n"/>
    </row>
    <row r="41">
      <c r="A41" s="14" t="n"/>
      <c r="B41" s="14" t="n"/>
      <c r="C41" s="14" t="n"/>
      <c r="D41" s="15" t="n"/>
      <c r="E41" s="15" t="n"/>
      <c r="F41" s="14" t="n"/>
      <c r="G41" s="14">
        <f>IF(F41="","",IFERROR(INDEX(Chart_of_Accounts!$A$5:$A$30,MATCH(F41,Chart_of_Accounts!$B$5:$B$30,0)),""))</f>
        <v/>
      </c>
      <c r="H41" s="14" t="n"/>
      <c r="I41" s="14" t="n"/>
    </row>
    <row r="42">
      <c r="A42" s="14" t="n"/>
      <c r="B42" s="14" t="n"/>
      <c r="C42" s="14" t="n"/>
      <c r="D42" s="15" t="n"/>
      <c r="E42" s="15" t="n"/>
      <c r="F42" s="14" t="n"/>
      <c r="G42" s="14">
        <f>IF(F42="","",IFERROR(INDEX(Chart_of_Accounts!$A$5:$A$30,MATCH(F42,Chart_of_Accounts!$B$5:$B$30,0)),""))</f>
        <v/>
      </c>
      <c r="H42" s="14" t="n"/>
      <c r="I42" s="14" t="n"/>
    </row>
    <row r="43">
      <c r="A43" s="14" t="n"/>
      <c r="B43" s="14" t="n"/>
      <c r="C43" s="14" t="n"/>
      <c r="D43" s="15" t="n"/>
      <c r="E43" s="15" t="n"/>
      <c r="F43" s="14" t="n"/>
      <c r="G43" s="14">
        <f>IF(F43="","",IFERROR(INDEX(Chart_of_Accounts!$A$5:$A$30,MATCH(F43,Chart_of_Accounts!$B$5:$B$30,0)),""))</f>
        <v/>
      </c>
      <c r="H43" s="14" t="n"/>
      <c r="I43" s="14" t="n"/>
    </row>
    <row r="44">
      <c r="A44" s="14" t="n"/>
      <c r="B44" s="14" t="n"/>
      <c r="C44" s="14" t="n"/>
      <c r="D44" s="15" t="n"/>
      <c r="E44" s="15" t="n"/>
      <c r="F44" s="14" t="n"/>
      <c r="G44" s="14">
        <f>IF(F44="","",IFERROR(INDEX(Chart_of_Accounts!$A$5:$A$30,MATCH(F44,Chart_of_Accounts!$B$5:$B$30,0)),""))</f>
        <v/>
      </c>
      <c r="H44" s="14" t="n"/>
      <c r="I44" s="14" t="n"/>
    </row>
    <row r="45">
      <c r="A45" s="14" t="n"/>
      <c r="B45" s="14" t="n"/>
      <c r="C45" s="14" t="n"/>
      <c r="D45" s="15" t="n"/>
      <c r="E45" s="15" t="n"/>
      <c r="F45" s="14" t="n"/>
      <c r="G45" s="14">
        <f>IF(F45="","",IFERROR(INDEX(Chart_of_Accounts!$A$5:$A$30,MATCH(F45,Chart_of_Accounts!$B$5:$B$30,0)),""))</f>
        <v/>
      </c>
      <c r="H45" s="14" t="n"/>
      <c r="I45" s="14" t="n"/>
    </row>
    <row r="46">
      <c r="A46" s="14" t="n"/>
      <c r="B46" s="14" t="n"/>
      <c r="C46" s="14" t="n"/>
      <c r="D46" s="15" t="n"/>
      <c r="E46" s="15" t="n"/>
      <c r="F46" s="14" t="n"/>
      <c r="G46" s="14">
        <f>IF(F46="","",IFERROR(INDEX(Chart_of_Accounts!$A$5:$A$30,MATCH(F46,Chart_of_Accounts!$B$5:$B$30,0)),""))</f>
        <v/>
      </c>
      <c r="H46" s="14" t="n"/>
      <c r="I46" s="14" t="n"/>
    </row>
    <row r="47">
      <c r="A47" s="14" t="n"/>
      <c r="B47" s="14" t="n"/>
      <c r="C47" s="14" t="n"/>
      <c r="D47" s="15" t="n"/>
      <c r="E47" s="15" t="n"/>
      <c r="F47" s="14" t="n"/>
      <c r="G47" s="14">
        <f>IF(F47="","",IFERROR(INDEX(Chart_of_Accounts!$A$5:$A$30,MATCH(F47,Chart_of_Accounts!$B$5:$B$30,0)),""))</f>
        <v/>
      </c>
      <c r="H47" s="14" t="n"/>
      <c r="I47" s="14" t="n"/>
    </row>
    <row r="48">
      <c r="A48" s="14" t="n"/>
      <c r="B48" s="14" t="n"/>
      <c r="C48" s="14" t="n"/>
      <c r="D48" s="15" t="n"/>
      <c r="E48" s="15" t="n"/>
      <c r="F48" s="14" t="n"/>
      <c r="G48" s="14">
        <f>IF(F48="","",IFERROR(INDEX(Chart_of_Accounts!$A$5:$A$30,MATCH(F48,Chart_of_Accounts!$B$5:$B$30,0)),""))</f>
        <v/>
      </c>
      <c r="H48" s="14" t="n"/>
      <c r="I48" s="14" t="n"/>
    </row>
    <row r="49">
      <c r="A49" s="14" t="n"/>
      <c r="B49" s="14" t="n"/>
      <c r="C49" s="14" t="n"/>
      <c r="D49" s="15" t="n"/>
      <c r="E49" s="15" t="n"/>
      <c r="F49" s="14" t="n"/>
      <c r="G49" s="14">
        <f>IF(F49="","",IFERROR(INDEX(Chart_of_Accounts!$A$5:$A$30,MATCH(F49,Chart_of_Accounts!$B$5:$B$30,0)),""))</f>
        <v/>
      </c>
      <c r="H49" s="14" t="n"/>
      <c r="I49" s="14" t="n"/>
    </row>
    <row r="50">
      <c r="A50" s="14" t="n"/>
      <c r="B50" s="14" t="n"/>
      <c r="C50" s="14" t="n"/>
      <c r="D50" s="15" t="n"/>
      <c r="E50" s="15" t="n"/>
      <c r="F50" s="14" t="n"/>
      <c r="G50" s="14">
        <f>IF(F50="","",IFERROR(INDEX(Chart_of_Accounts!$A$5:$A$30,MATCH(F50,Chart_of_Accounts!$B$5:$B$30,0)),""))</f>
        <v/>
      </c>
      <c r="H50" s="14" t="n"/>
      <c r="I50" s="14" t="n"/>
    </row>
    <row r="51">
      <c r="A51" s="14" t="n"/>
      <c r="B51" s="14" t="n"/>
      <c r="C51" s="14" t="n"/>
      <c r="D51" s="15" t="n"/>
      <c r="E51" s="15" t="n"/>
      <c r="F51" s="14" t="n"/>
      <c r="G51" s="14">
        <f>IF(F51="","",IFERROR(INDEX(Chart_of_Accounts!$A$5:$A$30,MATCH(F51,Chart_of_Accounts!$B$5:$B$30,0)),""))</f>
        <v/>
      </c>
      <c r="H51" s="14" t="n"/>
      <c r="I51" s="14" t="n"/>
    </row>
    <row r="52">
      <c r="A52" s="14" t="n"/>
      <c r="B52" s="14" t="n"/>
      <c r="C52" s="14" t="n"/>
      <c r="D52" s="15" t="n"/>
      <c r="E52" s="15" t="n"/>
      <c r="F52" s="14" t="n"/>
      <c r="G52" s="14">
        <f>IF(F52="","",IFERROR(INDEX(Chart_of_Accounts!$A$5:$A$30,MATCH(F52,Chart_of_Accounts!$B$5:$B$30,0)),""))</f>
        <v/>
      </c>
      <c r="H52" s="14" t="n"/>
      <c r="I52" s="14" t="n"/>
    </row>
    <row r="53">
      <c r="A53" s="14" t="n"/>
      <c r="B53" s="14" t="n"/>
      <c r="C53" s="14" t="n"/>
      <c r="D53" s="15" t="n"/>
      <c r="E53" s="15" t="n"/>
      <c r="F53" s="14" t="n"/>
      <c r="G53" s="14">
        <f>IF(F53="","",IFERROR(INDEX(Chart_of_Accounts!$A$5:$A$30,MATCH(F53,Chart_of_Accounts!$B$5:$B$30,0)),""))</f>
        <v/>
      </c>
      <c r="H53" s="14" t="n"/>
      <c r="I53" s="14" t="n"/>
    </row>
    <row r="54">
      <c r="A54" s="14" t="n"/>
      <c r="B54" s="14" t="n"/>
      <c r="C54" s="14" t="n"/>
      <c r="D54" s="15" t="n"/>
      <c r="E54" s="15" t="n"/>
      <c r="F54" s="14" t="n"/>
      <c r="G54" s="14">
        <f>IF(F54="","",IFERROR(INDEX(Chart_of_Accounts!$A$5:$A$30,MATCH(F54,Chart_of_Accounts!$B$5:$B$30,0)),""))</f>
        <v/>
      </c>
      <c r="H54" s="14" t="n"/>
      <c r="I54" s="14" t="n"/>
    </row>
    <row r="55">
      <c r="A55" s="14" t="n"/>
      <c r="B55" s="14" t="n"/>
      <c r="C55" s="14" t="n"/>
      <c r="D55" s="15" t="n"/>
      <c r="E55" s="15" t="n"/>
      <c r="F55" s="14" t="n"/>
      <c r="G55" s="14">
        <f>IF(F55="","",IFERROR(INDEX(Chart_of_Accounts!$A$5:$A$30,MATCH(F55,Chart_of_Accounts!$B$5:$B$30,0)),""))</f>
        <v/>
      </c>
      <c r="H55" s="14" t="n"/>
      <c r="I55" s="14" t="n"/>
    </row>
    <row r="56">
      <c r="A56" s="14" t="n"/>
      <c r="B56" s="14" t="n"/>
      <c r="C56" s="14" t="n"/>
      <c r="D56" s="15" t="n"/>
      <c r="E56" s="15" t="n"/>
      <c r="F56" s="14" t="n"/>
      <c r="G56" s="14">
        <f>IF(F56="","",IFERROR(INDEX(Chart_of_Accounts!$A$5:$A$30,MATCH(F56,Chart_of_Accounts!$B$5:$B$30,0)),""))</f>
        <v/>
      </c>
      <c r="H56" s="14" t="n"/>
      <c r="I56" s="14" t="n"/>
    </row>
    <row r="57">
      <c r="A57" s="14" t="n"/>
      <c r="B57" s="14" t="n"/>
      <c r="C57" s="14" t="n"/>
      <c r="D57" s="15" t="n"/>
      <c r="E57" s="15" t="n"/>
      <c r="F57" s="14" t="n"/>
      <c r="G57" s="14">
        <f>IF(F57="","",IFERROR(INDEX(Chart_of_Accounts!$A$5:$A$30,MATCH(F57,Chart_of_Accounts!$B$5:$B$30,0)),""))</f>
        <v/>
      </c>
      <c r="H57" s="14" t="n"/>
      <c r="I57" s="14" t="n"/>
    </row>
    <row r="58">
      <c r="A58" s="14" t="n"/>
      <c r="B58" s="14" t="n"/>
      <c r="C58" s="14" t="n"/>
      <c r="D58" s="15" t="n"/>
      <c r="E58" s="15" t="n"/>
      <c r="F58" s="14" t="n"/>
      <c r="G58" s="14">
        <f>IF(F58="","",IFERROR(INDEX(Chart_of_Accounts!$A$5:$A$30,MATCH(F58,Chart_of_Accounts!$B$5:$B$30,0)),""))</f>
        <v/>
      </c>
      <c r="H58" s="14" t="n"/>
      <c r="I58" s="14" t="n"/>
    </row>
    <row r="59">
      <c r="A59" s="14" t="n"/>
      <c r="B59" s="14" t="n"/>
      <c r="C59" s="14" t="n"/>
      <c r="D59" s="15" t="n"/>
      <c r="E59" s="15" t="n"/>
      <c r="F59" s="14" t="n"/>
      <c r="G59" s="14">
        <f>IF(F59="","",IFERROR(INDEX(Chart_of_Accounts!$A$5:$A$30,MATCH(F59,Chart_of_Accounts!$B$5:$B$30,0)),""))</f>
        <v/>
      </c>
      <c r="H59" s="14" t="n"/>
      <c r="I59" s="14" t="n"/>
    </row>
    <row r="60">
      <c r="A60" s="14" t="n"/>
      <c r="B60" s="14" t="n"/>
      <c r="C60" s="14" t="n"/>
      <c r="D60" s="15" t="n"/>
      <c r="E60" s="15" t="n"/>
      <c r="F60" s="14" t="n"/>
      <c r="G60" s="14">
        <f>IF(F60="","",IFERROR(INDEX(Chart_of_Accounts!$A$5:$A$30,MATCH(F60,Chart_of_Accounts!$B$5:$B$30,0)),""))</f>
        <v/>
      </c>
      <c r="H60" s="14" t="n"/>
      <c r="I60" s="14" t="n"/>
    </row>
    <row r="61">
      <c r="A61" s="14" t="n"/>
      <c r="B61" s="14" t="n"/>
      <c r="C61" s="14" t="n"/>
      <c r="D61" s="15" t="n"/>
      <c r="E61" s="15" t="n"/>
      <c r="F61" s="14" t="n"/>
      <c r="G61" s="14">
        <f>IF(F61="","",IFERROR(INDEX(Chart_of_Accounts!$A$5:$A$30,MATCH(F61,Chart_of_Accounts!$B$5:$B$30,0)),""))</f>
        <v/>
      </c>
      <c r="H61" s="14" t="n"/>
      <c r="I61" s="14" t="n"/>
    </row>
    <row r="62">
      <c r="A62" s="14" t="n"/>
      <c r="B62" s="14" t="n"/>
      <c r="C62" s="14" t="n"/>
      <c r="D62" s="15" t="n"/>
      <c r="E62" s="15" t="n"/>
      <c r="F62" s="14" t="n"/>
      <c r="G62" s="14">
        <f>IF(F62="","",IFERROR(INDEX(Chart_of_Accounts!$A$5:$A$30,MATCH(F62,Chart_of_Accounts!$B$5:$B$30,0)),""))</f>
        <v/>
      </c>
      <c r="H62" s="14" t="n"/>
      <c r="I62" s="14" t="n"/>
    </row>
    <row r="63">
      <c r="A63" s="14" t="n"/>
      <c r="B63" s="14" t="n"/>
      <c r="C63" s="14" t="n"/>
      <c r="D63" s="15" t="n"/>
      <c r="E63" s="15" t="n"/>
      <c r="F63" s="14" t="n"/>
      <c r="G63" s="14">
        <f>IF(F63="","",IFERROR(INDEX(Chart_of_Accounts!$A$5:$A$30,MATCH(F63,Chart_of_Accounts!$B$5:$B$30,0)),""))</f>
        <v/>
      </c>
      <c r="H63" s="14" t="n"/>
      <c r="I63" s="14" t="n"/>
    </row>
    <row r="64">
      <c r="A64" s="14" t="n"/>
      <c r="B64" s="14" t="n"/>
      <c r="C64" s="14" t="n"/>
      <c r="D64" s="15" t="n"/>
      <c r="E64" s="15" t="n"/>
      <c r="F64" s="14" t="n"/>
      <c r="G64" s="14">
        <f>IF(F64="","",IFERROR(INDEX(Chart_of_Accounts!$A$5:$A$30,MATCH(F64,Chart_of_Accounts!$B$5:$B$30,0)),""))</f>
        <v/>
      </c>
      <c r="H64" s="14" t="n"/>
      <c r="I64" s="14" t="n"/>
    </row>
    <row r="65">
      <c r="A65" s="14" t="n"/>
      <c r="B65" s="14" t="n"/>
      <c r="C65" s="14" t="n"/>
      <c r="D65" s="15" t="n"/>
      <c r="E65" s="15" t="n"/>
      <c r="F65" s="14" t="n"/>
      <c r="G65" s="14">
        <f>IF(F65="","",IFERROR(INDEX(Chart_of_Accounts!$A$5:$A$30,MATCH(F65,Chart_of_Accounts!$B$5:$B$30,0)),""))</f>
        <v/>
      </c>
      <c r="H65" s="14" t="n"/>
      <c r="I65" s="14" t="n"/>
    </row>
    <row r="66">
      <c r="A66" s="14" t="n"/>
      <c r="B66" s="14" t="n"/>
      <c r="C66" s="14" t="n"/>
      <c r="D66" s="15" t="n"/>
      <c r="E66" s="15" t="n"/>
      <c r="F66" s="14" t="n"/>
      <c r="G66" s="14">
        <f>IF(F66="","",IFERROR(INDEX(Chart_of_Accounts!$A$5:$A$30,MATCH(F66,Chart_of_Accounts!$B$5:$B$30,0)),""))</f>
        <v/>
      </c>
      <c r="H66" s="14" t="n"/>
      <c r="I66" s="14" t="n"/>
    </row>
    <row r="67">
      <c r="A67" s="14" t="n"/>
      <c r="B67" s="14" t="n"/>
      <c r="C67" s="14" t="n"/>
      <c r="D67" s="15" t="n"/>
      <c r="E67" s="15" t="n"/>
      <c r="F67" s="14" t="n"/>
      <c r="G67" s="14">
        <f>IF(F67="","",IFERROR(INDEX(Chart_of_Accounts!$A$5:$A$30,MATCH(F67,Chart_of_Accounts!$B$5:$B$30,0)),""))</f>
        <v/>
      </c>
      <c r="H67" s="14" t="n"/>
      <c r="I67" s="14" t="n"/>
    </row>
    <row r="68">
      <c r="A68" s="14" t="n"/>
      <c r="B68" s="14" t="n"/>
      <c r="C68" s="14" t="n"/>
      <c r="D68" s="15" t="n"/>
      <c r="E68" s="15" t="n"/>
      <c r="F68" s="14" t="n"/>
      <c r="G68" s="14">
        <f>IF(F68="","",IFERROR(INDEX(Chart_of_Accounts!$A$5:$A$30,MATCH(F68,Chart_of_Accounts!$B$5:$B$30,0)),""))</f>
        <v/>
      </c>
      <c r="H68" s="14" t="n"/>
      <c r="I68" s="14" t="n"/>
    </row>
    <row r="69">
      <c r="A69" s="14" t="n"/>
      <c r="B69" s="14" t="n"/>
      <c r="C69" s="14" t="n"/>
      <c r="D69" s="15" t="n"/>
      <c r="E69" s="15" t="n"/>
      <c r="F69" s="14" t="n"/>
      <c r="G69" s="14">
        <f>IF(F69="","",IFERROR(INDEX(Chart_of_Accounts!$A$5:$A$30,MATCH(F69,Chart_of_Accounts!$B$5:$B$30,0)),""))</f>
        <v/>
      </c>
      <c r="H69" s="14" t="n"/>
      <c r="I69" s="14" t="n"/>
    </row>
    <row r="70">
      <c r="A70" s="14" t="n"/>
      <c r="B70" s="14" t="n"/>
      <c r="C70" s="14" t="n"/>
      <c r="D70" s="15" t="n"/>
      <c r="E70" s="15" t="n"/>
      <c r="F70" s="14" t="n"/>
      <c r="G70" s="14">
        <f>IF(F70="","",IFERROR(INDEX(Chart_of_Accounts!$A$5:$A$30,MATCH(F70,Chart_of_Accounts!$B$5:$B$30,0)),""))</f>
        <v/>
      </c>
      <c r="H70" s="14" t="n"/>
      <c r="I70" s="14" t="n"/>
    </row>
    <row r="71">
      <c r="A71" s="14" t="n"/>
      <c r="B71" s="14" t="n"/>
      <c r="C71" s="14" t="n"/>
      <c r="D71" s="15" t="n"/>
      <c r="E71" s="15" t="n"/>
      <c r="F71" s="14" t="n"/>
      <c r="G71" s="14">
        <f>IF(F71="","",IFERROR(INDEX(Chart_of_Accounts!$A$5:$A$30,MATCH(F71,Chart_of_Accounts!$B$5:$B$30,0)),""))</f>
        <v/>
      </c>
      <c r="H71" s="14" t="n"/>
      <c r="I71" s="14" t="n"/>
    </row>
    <row r="72">
      <c r="A72" s="14" t="n"/>
      <c r="B72" s="14" t="n"/>
      <c r="C72" s="14" t="n"/>
      <c r="D72" s="15" t="n"/>
      <c r="E72" s="15" t="n"/>
      <c r="F72" s="14" t="n"/>
      <c r="G72" s="14">
        <f>IF(F72="","",IFERROR(INDEX(Chart_of_Accounts!$A$5:$A$30,MATCH(F72,Chart_of_Accounts!$B$5:$B$30,0)),""))</f>
        <v/>
      </c>
      <c r="H72" s="14" t="n"/>
      <c r="I72" s="14" t="n"/>
    </row>
    <row r="73">
      <c r="A73" s="14" t="n"/>
      <c r="B73" s="14" t="n"/>
      <c r="C73" s="14" t="n"/>
      <c r="D73" s="15" t="n"/>
      <c r="E73" s="15" t="n"/>
      <c r="F73" s="14" t="n"/>
      <c r="G73" s="14">
        <f>IF(F73="","",IFERROR(INDEX(Chart_of_Accounts!$A$5:$A$30,MATCH(F73,Chart_of_Accounts!$B$5:$B$30,0)),""))</f>
        <v/>
      </c>
      <c r="H73" s="14" t="n"/>
      <c r="I73" s="14" t="n"/>
    </row>
    <row r="74">
      <c r="A74" s="14" t="n"/>
      <c r="B74" s="14" t="n"/>
      <c r="C74" s="14" t="n"/>
      <c r="D74" s="15" t="n"/>
      <c r="E74" s="15" t="n"/>
      <c r="F74" s="14" t="n"/>
      <c r="G74" s="14">
        <f>IF(F74="","",IFERROR(INDEX(Chart_of_Accounts!$A$5:$A$30,MATCH(F74,Chart_of_Accounts!$B$5:$B$30,0)),""))</f>
        <v/>
      </c>
      <c r="H74" s="14" t="n"/>
      <c r="I74" s="14" t="n"/>
    </row>
    <row r="75">
      <c r="A75" s="14" t="n"/>
      <c r="B75" s="14" t="n"/>
      <c r="C75" s="14" t="n"/>
      <c r="D75" s="15" t="n"/>
      <c r="E75" s="15" t="n"/>
      <c r="F75" s="14" t="n"/>
      <c r="G75" s="14">
        <f>IF(F75="","",IFERROR(INDEX(Chart_of_Accounts!$A$5:$A$30,MATCH(F75,Chart_of_Accounts!$B$5:$B$30,0)),""))</f>
        <v/>
      </c>
      <c r="H75" s="14" t="n"/>
      <c r="I75" s="14" t="n"/>
    </row>
    <row r="76">
      <c r="A76" s="14" t="n"/>
      <c r="B76" s="14" t="n"/>
      <c r="C76" s="14" t="n"/>
      <c r="D76" s="15" t="n"/>
      <c r="E76" s="15" t="n"/>
      <c r="F76" s="14" t="n"/>
      <c r="G76" s="14">
        <f>IF(F76="","",IFERROR(INDEX(Chart_of_Accounts!$A$5:$A$30,MATCH(F76,Chart_of_Accounts!$B$5:$B$30,0)),""))</f>
        <v/>
      </c>
      <c r="H76" s="14" t="n"/>
      <c r="I76" s="14" t="n"/>
    </row>
    <row r="77">
      <c r="A77" s="14" t="n"/>
      <c r="B77" s="14" t="n"/>
      <c r="C77" s="14" t="n"/>
      <c r="D77" s="15" t="n"/>
      <c r="E77" s="15" t="n"/>
      <c r="F77" s="14" t="n"/>
      <c r="G77" s="14">
        <f>IF(F77="","",IFERROR(INDEX(Chart_of_Accounts!$A$5:$A$30,MATCH(F77,Chart_of_Accounts!$B$5:$B$30,0)),""))</f>
        <v/>
      </c>
      <c r="H77" s="14" t="n"/>
      <c r="I77" s="14" t="n"/>
    </row>
    <row r="78">
      <c r="A78" s="14" t="n"/>
      <c r="B78" s="14" t="n"/>
      <c r="C78" s="14" t="n"/>
      <c r="D78" s="15" t="n"/>
      <c r="E78" s="15" t="n"/>
      <c r="F78" s="14" t="n"/>
      <c r="G78" s="14">
        <f>IF(F78="","",IFERROR(INDEX(Chart_of_Accounts!$A$5:$A$30,MATCH(F78,Chart_of_Accounts!$B$5:$B$30,0)),""))</f>
        <v/>
      </c>
      <c r="H78" s="14" t="n"/>
      <c r="I78" s="14" t="n"/>
    </row>
    <row r="79">
      <c r="A79" s="14" t="n"/>
      <c r="B79" s="14" t="n"/>
      <c r="C79" s="14" t="n"/>
      <c r="D79" s="15" t="n"/>
      <c r="E79" s="15" t="n"/>
      <c r="F79" s="14" t="n"/>
      <c r="G79" s="14">
        <f>IF(F79="","",IFERROR(INDEX(Chart_of_Accounts!$A$5:$A$30,MATCH(F79,Chart_of_Accounts!$B$5:$B$30,0)),""))</f>
        <v/>
      </c>
      <c r="H79" s="14" t="n"/>
      <c r="I79" s="14" t="n"/>
    </row>
  </sheetData>
  <dataValidations count="1">
    <dataValidation sqref="F6:F500" showDropDown="0" showInputMessage="0" showErrorMessage="0" allowBlank="1" errorTitle="Invalid Nature" error="Pick a Nature from Chart_of_Accounts" type="list">
      <formula1>=Chart_of_Accounts!$H$5:$H$30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4" customWidth="1" min="4" max="4"/>
  </cols>
  <sheetData>
    <row r="1">
      <c r="A1" s="1" t="inlineStr">
        <is>
          <t>Profit &amp; Loss — Monthly</t>
        </is>
      </c>
    </row>
    <row r="2">
      <c r="A2" s="3" t="inlineStr">
        <is>
          <t>Year / Month 喺黃色格改。Sales 優先用 Daily_Sales；銀行標 Sales 只作對帳參考。</t>
        </is>
      </c>
    </row>
    <row r="4">
      <c r="A4" t="inlineStr">
        <is>
          <t>Year</t>
        </is>
      </c>
      <c r="B4" s="11" t="n">
        <v>2026</v>
      </c>
      <c r="C4" t="inlineStr">
        <is>
          <t>Period start</t>
        </is>
      </c>
      <c r="D4">
        <f>DATE(B4,B5,1)</f>
        <v/>
      </c>
    </row>
    <row r="5">
      <c r="A5" t="inlineStr">
        <is>
          <t>Month</t>
        </is>
      </c>
      <c r="B5" s="11" t="n">
        <v>10</v>
      </c>
      <c r="C5" t="inlineStr">
        <is>
          <t>Period end</t>
        </is>
      </c>
      <c r="D5">
        <f>EOMONTH(D4,0)</f>
        <v/>
      </c>
    </row>
    <row r="7">
      <c r="A7" s="16" t="inlineStr">
        <is>
          <t>Income</t>
        </is>
      </c>
      <c r="B7" s="17" t="inlineStr"/>
    </row>
    <row r="8">
      <c r="A8" t="inlineStr">
        <is>
          <t>Sales (from Daily_Sales)</t>
        </is>
      </c>
      <c r="B8" s="13">
        <f>SUMIFS(Daily_Sales!K:K,Daily_Sales!A:A,"&gt;="&amp;TEXT($D$4,"yyyy-mm-dd"),Daily_Sales!A:A,"&lt;="&amp;TEXT($D$5,"yyyy-mm-dd"))</f>
        <v/>
      </c>
    </row>
    <row r="9">
      <c r="A9" t="inlineStr">
        <is>
          <t>Bank tagged Sales (recon only)</t>
        </is>
      </c>
      <c r="B9" s="13">
        <f>SUMIFS(Bank_Entries!D:D,Bank_Entries!F:F,"Sales",Bank_Entries!A:A,"&gt;="&amp;$D$4,Bank_Entries!A:A,"&lt;="&amp;$D$5)+SUMIFS(Bank_Entries!E:E,Bank_Entries!F:F,"Sales",Bank_Entries!A:A,"&gt;="&amp;$D$4,Bank_Entries!A:A,"&lt;="&amp;$D$5)</f>
        <v/>
      </c>
    </row>
    <row r="10">
      <c r="A10" s="2" t="inlineStr">
        <is>
          <t>Net sales (uses Daily_Sales)</t>
        </is>
      </c>
      <c r="B10" s="18">
        <f>B8</f>
        <v/>
      </c>
    </row>
    <row r="12">
      <c r="A12" s="19" t="inlineStr">
        <is>
          <t>Cost of goods sold</t>
        </is>
      </c>
      <c r="B12" s="20" t="n"/>
    </row>
    <row r="13">
      <c r="A13" t="inlineStr">
        <is>
          <t>Drink / Alcohol</t>
        </is>
      </c>
      <c r="B13" s="13">
        <f>ABS(SUMIFS(Bank_Entries!D:D,Bank_Entries!F:F,A13,Bank_Entries!A:A,"&gt;="&amp;$D$4,Bank_Entries!A:A,"&lt;="&amp;$D$5)+SUMIFS(Bank_Entries!E:E,Bank_Entries!F:F,A13,Bank_Entries!A:A,"&gt;="&amp;$D$4,Bank_Entries!A:A,"&lt;="&amp;$D$5))</f>
        <v/>
      </c>
    </row>
    <row r="14">
      <c r="A14" t="inlineStr">
        <is>
          <t>Shisha stock</t>
        </is>
      </c>
      <c r="B14" s="13">
        <f>ABS(SUMIFS(Bank_Entries!D:D,Bank_Entries!F:F,A14,Bank_Entries!A:A,"&gt;="&amp;$D$4,Bank_Entries!A:A,"&lt;="&amp;$D$5)+SUMIFS(Bank_Entries!E:E,Bank_Entries!F:F,A14,Bank_Entries!A:A,"&gt;="&amp;$D$4,Bank_Entries!A:A,"&lt;="&amp;$D$5))</f>
        <v/>
      </c>
    </row>
    <row r="15">
      <c r="A15" t="inlineStr">
        <is>
          <t>Nuts / snacks</t>
        </is>
      </c>
      <c r="B15" s="13">
        <f>ABS(SUMIFS(Bank_Entries!D:D,Bank_Entries!F:F,A15,Bank_Entries!A:A,"&gt;="&amp;$D$4,Bank_Entries!A:A,"&lt;="&amp;$D$5)+SUMIFS(Bank_Entries!E:E,Bank_Entries!F:F,A15,Bank_Entries!A:A,"&gt;="&amp;$D$4,Bank_Entries!A:A,"&lt;="&amp;$D$5))</f>
        <v/>
      </c>
    </row>
    <row r="16">
      <c r="A16" t="inlineStr">
        <is>
          <t>Wine cost</t>
        </is>
      </c>
      <c r="B16" s="13">
        <f>ABS(SUMIFS(Bank_Entries!D:D,Bank_Entries!F:F,A16,Bank_Entries!A:A,"&gt;="&amp;$D$4,Bank_Entries!A:A,"&lt;="&amp;$D$5)+SUMIFS(Bank_Entries!E:E,Bank_Entries!F:F,A16,Bank_Entries!A:A,"&gt;="&amp;$D$4,Bank_Entries!A:A,"&lt;="&amp;$D$5))</f>
        <v/>
      </c>
    </row>
    <row r="17">
      <c r="A17" t="inlineStr">
        <is>
          <t>Other COGS</t>
        </is>
      </c>
      <c r="B17" s="13">
        <f>ABS(SUMIFS(Bank_Entries!D:D,Bank_Entries!F:F,A17,Bank_Entries!A:A,"&gt;="&amp;$D$4,Bank_Entries!A:A,"&lt;="&amp;$D$5)+SUMIFS(Bank_Entries!E:E,Bank_Entries!F:F,A17,Bank_Entries!A:A,"&gt;="&amp;$D$4,Bank_Entries!A:A,"&lt;="&amp;$D$5))</f>
        <v/>
      </c>
    </row>
    <row r="18">
      <c r="A18" s="2" t="inlineStr">
        <is>
          <t>Total COGS</t>
        </is>
      </c>
      <c r="B18" s="13">
        <f>SUM(B13:B17)</f>
        <v/>
      </c>
    </row>
    <row r="20">
      <c r="A20" s="2" t="inlineStr">
        <is>
          <t>Gross profit</t>
        </is>
      </c>
      <c r="B20" s="18">
        <f>B10-B18</f>
        <v/>
      </c>
    </row>
    <row r="22">
      <c r="A22" s="16" t="inlineStr">
        <is>
          <t>Operating expenses</t>
        </is>
      </c>
      <c r="B22" s="17" t="n"/>
    </row>
    <row r="23">
      <c r="A23" t="inlineStr">
        <is>
          <t>Rent</t>
        </is>
      </c>
      <c r="B23" s="13">
        <f>ABS(SUMIFS(Bank_Entries!D:D,Bank_Entries!F:F,A23,Bank_Entries!A:A,"&gt;="&amp;$D$4,Bank_Entries!A:A,"&lt;="&amp;$D$5)+SUMIFS(Bank_Entries!E:E,Bank_Entries!F:F,A23,Bank_Entries!A:A,"&gt;="&amp;$D$4,Bank_Entries!A:A,"&lt;="&amp;$D$5))</f>
        <v/>
      </c>
    </row>
    <row r="24">
      <c r="A24" t="inlineStr">
        <is>
          <t>Management fee</t>
        </is>
      </c>
      <c r="B24" s="13">
        <f>ABS(SUMIFS(Bank_Entries!D:D,Bank_Entries!F:F,A24,Bank_Entries!A:A,"&gt;="&amp;$D$4,Bank_Entries!A:A,"&lt;="&amp;$D$5)+SUMIFS(Bank_Entries!E:E,Bank_Entries!F:F,A24,Bank_Entries!A:A,"&gt;="&amp;$D$4,Bank_Entries!A:A,"&lt;="&amp;$D$5))</f>
        <v/>
      </c>
    </row>
    <row r="25">
      <c r="A25" t="inlineStr">
        <is>
          <t>Rates (差餉)</t>
        </is>
      </c>
      <c r="B25" s="13">
        <f>ABS(SUMIFS(Bank_Entries!D:D,Bank_Entries!F:F,A25,Bank_Entries!A:A,"&gt;="&amp;$D$4,Bank_Entries!A:A,"&lt;="&amp;$D$5)+SUMIFS(Bank_Entries!E:E,Bank_Entries!F:F,A25,Bank_Entries!A:A,"&gt;="&amp;$D$4,Bank_Entries!A:A,"&lt;="&amp;$D$5))</f>
        <v/>
      </c>
    </row>
    <row r="26">
      <c r="A26" t="inlineStr">
        <is>
          <t>Wages</t>
        </is>
      </c>
      <c r="B26" s="13">
        <f>ABS(SUMIFS(Bank_Entries!D:D,Bank_Entries!F:F,A26,Bank_Entries!A:A,"&gt;="&amp;$D$4,Bank_Entries!A:A,"&lt;="&amp;$D$5)+SUMIFS(Bank_Entries!E:E,Bank_Entries!F:F,A26,Bank_Entries!A:A,"&gt;="&amp;$D$4,Bank_Entries!A:A,"&lt;="&amp;$D$5))</f>
        <v/>
      </c>
    </row>
    <row r="27">
      <c r="A27" t="inlineStr">
        <is>
          <t>Electricity</t>
        </is>
      </c>
      <c r="B27" s="13">
        <f>ABS(SUMIFS(Bank_Entries!D:D,Bank_Entries!F:F,A27,Bank_Entries!A:A,"&gt;="&amp;$D$4,Bank_Entries!A:A,"&lt;="&amp;$D$5)+SUMIFS(Bank_Entries!E:E,Bank_Entries!F:F,A27,Bank_Entries!A:A,"&gt;="&amp;$D$4,Bank_Entries!A:A,"&lt;="&amp;$D$5))</f>
        <v/>
      </c>
    </row>
    <row r="28">
      <c r="A28" t="inlineStr">
        <is>
          <t>Water</t>
        </is>
      </c>
      <c r="B28" s="13">
        <f>ABS(SUMIFS(Bank_Entries!D:D,Bank_Entries!F:F,A28,Bank_Entries!A:A,"&gt;="&amp;$D$4,Bank_Entries!A:A,"&lt;="&amp;$D$5)+SUMIFS(Bank_Entries!E:E,Bank_Entries!F:F,A28,Bank_Entries!A:A,"&gt;="&amp;$D$4,Bank_Entries!A:A,"&lt;="&amp;$D$5))</f>
        <v/>
      </c>
    </row>
    <row r="29">
      <c r="A29" t="inlineStr">
        <is>
          <t>Internet</t>
        </is>
      </c>
      <c r="B29" s="13">
        <f>ABS(SUMIFS(Bank_Entries!D:D,Bank_Entries!F:F,A29,Bank_Entries!A:A,"&gt;="&amp;$D$4,Bank_Entries!A:A,"&lt;="&amp;$D$5)+SUMIFS(Bank_Entries!E:E,Bank_Entries!F:F,A29,Bank_Entries!A:A,"&gt;="&amp;$D$4,Bank_Entries!A:A,"&lt;="&amp;$D$5))</f>
        <v/>
      </c>
    </row>
    <row r="30">
      <c r="A30" t="inlineStr">
        <is>
          <t>Marketing fee</t>
        </is>
      </c>
      <c r="B30" s="13">
        <f>ABS(SUMIFS(Bank_Entries!D:D,Bank_Entries!F:F,A30,Bank_Entries!A:A,"&gt;="&amp;$D$4,Bank_Entries!A:A,"&lt;="&amp;$D$5)+SUMIFS(Bank_Entries!E:E,Bank_Entries!F:F,A30,Bank_Entries!A:A,"&gt;="&amp;$D$4,Bank_Entries!A:A,"&lt;="&amp;$D$5))</f>
        <v/>
      </c>
    </row>
    <row r="31">
      <c r="A31" t="inlineStr">
        <is>
          <t>Claim</t>
        </is>
      </c>
      <c r="B31" s="13">
        <f>ABS(SUMIFS(Bank_Entries!D:D,Bank_Entries!F:F,A31,Bank_Entries!A:A,"&gt;="&amp;$D$4,Bank_Entries!A:A,"&lt;="&amp;$D$5)+SUMIFS(Bank_Entries!E:E,Bank_Entries!F:F,A31,Bank_Entries!A:A,"&gt;="&amp;$D$4,Bank_Entries!A:A,"&lt;="&amp;$D$5))</f>
        <v/>
      </c>
    </row>
    <row r="32">
      <c r="A32" t="inlineStr">
        <is>
          <t>Repairs &amp; maintenance</t>
        </is>
      </c>
      <c r="B32" s="13">
        <f>ABS(SUMIFS(Bank_Entries!D:D,Bank_Entries!F:F,A32,Bank_Entries!A:A,"&gt;="&amp;$D$4,Bank_Entries!A:A,"&lt;="&amp;$D$5)+SUMIFS(Bank_Entries!E:E,Bank_Entries!F:F,A32,Bank_Entries!A:A,"&gt;="&amp;$D$4,Bank_Entries!A:A,"&lt;="&amp;$D$5))</f>
        <v/>
      </c>
    </row>
    <row r="33">
      <c r="A33" t="inlineStr">
        <is>
          <t>Miscellaneous</t>
        </is>
      </c>
      <c r="B33" s="13">
        <f>ABS(SUMIFS(Bank_Entries!D:D,Bank_Entries!F:F,A33,Bank_Entries!A:A,"&gt;="&amp;$D$4,Bank_Entries!A:A,"&lt;="&amp;$D$5)+SUMIFS(Bank_Entries!E:E,Bank_Entries!F:F,A33,Bank_Entries!A:A,"&gt;="&amp;$D$4,Bank_Entries!A:A,"&lt;="&amp;$D$5))</f>
        <v/>
      </c>
    </row>
    <row r="34">
      <c r="A34" t="inlineStr">
        <is>
          <t>Membership / BNI</t>
        </is>
      </c>
      <c r="B34" s="13">
        <f>ABS(SUMIFS(Bank_Entries!D:D,Bank_Entries!F:F,A34,Bank_Entries!A:A,"&gt;="&amp;$D$4,Bank_Entries!A:A,"&lt;="&amp;$D$5)+SUMIFS(Bank_Entries!E:E,Bank_Entries!F:F,A34,Bank_Entries!A:A,"&gt;="&amp;$D$4,Bank_Entries!A:A,"&lt;="&amp;$D$5))</f>
        <v/>
      </c>
    </row>
    <row r="35">
      <c r="A35" t="inlineStr">
        <is>
          <t>Claims recorded in Order (Daily_Sales)</t>
        </is>
      </c>
      <c r="B35" s="13">
        <f>SUMIFS(Daily_Sales!J:J,Daily_Sales!A:A,"&gt;="&amp;TEXT($D$4,"yyyy-mm-dd"),Daily_Sales!A:A,"&lt;="&amp;TEXT($D$5,"yyyy-mm-dd"))</f>
        <v/>
      </c>
    </row>
    <row r="36">
      <c r="A36" s="2" t="inlineStr">
        <is>
          <t>Total operating expenses</t>
        </is>
      </c>
      <c r="B36" s="13">
        <f>SUM(B23:B35)</f>
        <v/>
      </c>
    </row>
    <row r="38">
      <c r="A38" s="21" t="inlineStr">
        <is>
          <t>Net profit / (loss)</t>
        </is>
      </c>
      <c r="B38" s="22">
        <f>B20-B36</f>
        <v/>
      </c>
    </row>
    <row r="40">
      <c r="A40" s="19" t="inlineStr">
        <is>
          <t>Ratios</t>
        </is>
      </c>
    </row>
    <row r="41">
      <c r="A41" t="inlineStr">
        <is>
          <t>Wages / Net sales</t>
        </is>
      </c>
      <c r="B41" s="23">
        <f>IF(B10=0,0,ABS(SUMIFS(Bank_Entries!D:D,Bank_Entries!F:F,"Wages",Bank_Entries!A:A,"&gt;="&amp;$D$4,Bank_Entries!A:A,"&lt;="&amp;$D$5)+SUMIFS(Bank_Entries!E:E,Bank_Entries!F:F,"Wages",Bank_Entries!A:A,"&gt;="&amp;$D$4,Bank_Entries!A:A,"&lt;="&amp;$D$5))/B10)</f>
        <v/>
      </c>
    </row>
    <row r="42">
      <c r="A42" t="inlineStr">
        <is>
          <t>Total expenses / Net sales</t>
        </is>
      </c>
      <c r="B42" s="23">
        <f>IF(B10=0,0,B36/B10)</f>
        <v/>
      </c>
    </row>
    <row r="43">
      <c r="A43" t="inlineStr">
        <is>
          <t>Net margin</t>
        </is>
      </c>
      <c r="B43" s="23">
        <f>IF(B10=0,0,B38/B10)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" t="inlineStr">
        <is>
          <t>Balance Sheet</t>
        </is>
      </c>
    </row>
    <row r="2">
      <c r="A2" s="3" t="inlineStr">
        <is>
          <t>As-of 用黃色格。銀行結餘 = Bank_Entries 累計；Cash on hand 用 Daily_Sales 最近 Cash Tilt 作 control。</t>
        </is>
      </c>
    </row>
    <row r="4">
      <c r="A4" t="inlineStr">
        <is>
          <t>As of date</t>
        </is>
      </c>
      <c r="B4" s="27" t="n">
        <v>46322</v>
      </c>
    </row>
    <row r="6">
      <c r="A6" s="16" t="inlineStr">
        <is>
          <t>Assets</t>
        </is>
      </c>
      <c r="B6" s="17" t="n"/>
    </row>
    <row r="7">
      <c r="A7" t="inlineStr">
        <is>
          <t>HSBC SA</t>
        </is>
      </c>
      <c r="B7" s="13">
        <f>SUMIF(Bank_Entries!A:A,"&lt;="&amp;$B$4,Bank_Entries!D:D)</f>
        <v/>
      </c>
    </row>
    <row r="8">
      <c r="A8" t="inlineStr">
        <is>
          <t>HSBC CA</t>
        </is>
      </c>
      <c r="B8" s="13">
        <f>SUMIF(Bank_Entries!A:A,"&lt;="&amp;$B$4,Bank_Entries!E:E)</f>
        <v/>
      </c>
    </row>
    <row r="9">
      <c r="A9" t="inlineStr">
        <is>
          <t>Cash on hand (Cash Tilt control)</t>
        </is>
      </c>
      <c r="B9" s="13">
        <f>Daily_Sales!Q10</f>
        <v/>
      </c>
    </row>
    <row r="10">
      <c r="A10" t="inlineStr">
        <is>
          <t>Deposits held (bank Nature)</t>
        </is>
      </c>
      <c r="B10" s="13">
        <f>ABS(SUMIFS(Bank_Entries!D:D,Bank_Entries!F:F,"Deposits held",Bank_Entries!A:A,"&lt;="&amp;$B$4)+SUMIFS(Bank_Entries!E:E,Bank_Entries!F:F,"Deposits held",Bank_Entries!A:A,"&lt;="&amp;$B$4))</f>
        <v/>
      </c>
    </row>
    <row r="11">
      <c r="A11" s="2" t="inlineStr">
        <is>
          <t>Total assets</t>
        </is>
      </c>
      <c r="B11" s="25">
        <f>B7+B8+B9+B10</f>
        <v/>
      </c>
    </row>
    <row r="13">
      <c r="A13" s="19" t="inlineStr">
        <is>
          <t>Equity</t>
        </is>
      </c>
      <c r="B13" s="20" t="n"/>
    </row>
    <row r="14">
      <c r="A14" t="inlineStr">
        <is>
          <t>Partner capital</t>
        </is>
      </c>
      <c r="B14" s="13">
        <f>SUMIFS(Bank_Entries!D:D,Bank_Entries!F:F,"Partner capital",Bank_Entries!A:A,"&lt;="&amp;$B$4)+SUMIFS(Bank_Entries!E:E,Bank_Entries!F:F,"Partner capital",Bank_Entries!A:A,"&lt;="&amp;$B$4)</f>
        <v/>
      </c>
    </row>
    <row r="15">
      <c r="A15" t="inlineStr">
        <is>
          <t>Partner cash in</t>
        </is>
      </c>
      <c r="B15" s="13">
        <f>SUMIFS(Bank_Entries!D:D,Bank_Entries!F:F,"Partner cash in",Bank_Entries!A:A,"&lt;="&amp;$B$4)+SUMIFS(Bank_Entries!E:E,Bank_Entries!F:F,"Partner cash in",Bank_Entries!A:A,"&lt;="&amp;$B$4)</f>
        <v/>
      </c>
    </row>
    <row r="16">
      <c r="A16" t="inlineStr">
        <is>
          <t>Partner drawings</t>
        </is>
      </c>
      <c r="B16" s="13">
        <f>ABS(SUMIFS(Bank_Entries!D:D,Bank_Entries!F:F,"Partner drawings",Bank_Entries!A:A,"&lt;="&amp;$B$4)+SUMIFS(Bank_Entries!E:E,Bank_Entries!F:F,"Partner drawings",Bank_Entries!A:A,"&lt;="&amp;$B$4))</f>
        <v/>
      </c>
    </row>
    <row r="17">
      <c r="A17" s="3" t="inlineStr">
        <is>
          <t>Retained earnings (plug to balance)</t>
        </is>
      </c>
      <c r="B17" s="13">
        <f>B11-(B14+B15-B16)</f>
        <v/>
      </c>
    </row>
    <row r="18">
      <c r="A18" s="2" t="inlineStr">
        <is>
          <t>Total equity</t>
        </is>
      </c>
      <c r="B18" s="18">
        <f>B14+B15-B16+B17</f>
        <v/>
      </c>
    </row>
    <row r="20">
      <c r="A20" t="inlineStr">
        <is>
          <t>Check (Assets − Equity should be 0)</t>
        </is>
      </c>
      <c r="B20" s="13">
        <f>B11-B18</f>
        <v/>
      </c>
    </row>
    <row r="22">
      <c r="A22" s="3" t="inlineStr">
        <is>
          <t>Note: Retained earnings is a balancing figure until full journal history is loaded. Net profit from P&amp;L feeds partners meetings; bank history builds the true equity over time.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" t="inlineStr">
        <is>
          <t>KPI Dashboard</t>
        </is>
      </c>
    </row>
    <row r="2">
      <c r="A2" s="3" t="inlineStr">
        <is>
          <t>跟 P&amp;L_Monthly 同一個 Year/Month（改 P&amp;L 頁黃色格即可；呢頁讀返）。</t>
        </is>
      </c>
    </row>
    <row r="4">
      <c r="A4" t="inlineStr">
        <is>
          <t>Year</t>
        </is>
      </c>
      <c r="B4">
        <f>P&amp;L_Monthly!B4</f>
        <v/>
      </c>
    </row>
    <row r="5">
      <c r="A5" t="inlineStr">
        <is>
          <t>Month</t>
        </is>
      </c>
      <c r="B5">
        <f>P&amp;L_Monthly!B5</f>
        <v/>
      </c>
    </row>
    <row r="7">
      <c r="A7" t="inlineStr">
        <is>
          <t>Net sales</t>
        </is>
      </c>
      <c r="B7" s="13">
        <f>P&amp;L_Monthly!B10</f>
        <v/>
      </c>
    </row>
    <row r="8">
      <c r="A8" t="inlineStr">
        <is>
          <t>Gross profit</t>
        </is>
      </c>
      <c r="B8" s="13">
        <f>P&amp;L_Monthly!B20</f>
        <v/>
      </c>
    </row>
    <row r="9">
      <c r="A9" t="inlineStr">
        <is>
          <t>Net profit</t>
        </is>
      </c>
      <c r="B9" s="18">
        <f>P&amp;L_Monthly!B38</f>
        <v/>
      </c>
    </row>
    <row r="10">
      <c r="A10" t="inlineStr">
        <is>
          <t>Claims (Order)</t>
        </is>
      </c>
      <c r="B10" s="13">
        <f>P&amp;L_Monthly!B35</f>
        <v/>
      </c>
    </row>
    <row r="11">
      <c r="A11" t="inlineStr">
        <is>
          <t>Wages / sales</t>
        </is>
      </c>
      <c r="B11" s="23">
        <f>IF(B7=0,0,ABS(SUMIFS(Bank_Entries!D:D,Bank_Entries!F:F,"Wages",Bank_Entries!A:A,"&gt;="&amp;P&amp;L_Monthly!D4,Bank_Entries!A:A,"&lt;="&amp;P&amp;L_Monthly!D5)+SUMIFS(Bank_Entries!E:E,Bank_Entries!F:F,"Wages",Bank_Entries!A:A,"&gt;="&amp;P&amp;L_Monthly!D4,Bank_Entries!A:A,"&lt;="&amp;P&amp;L_Monthly!D5))/B7)</f>
        <v/>
      </c>
    </row>
    <row r="12">
      <c r="A12" t="inlineStr">
        <is>
          <t>Expense / sales</t>
        </is>
      </c>
      <c r="B12" s="23">
        <f>IF(B7=0,0,P&amp;L_Monthly!B36/B7)</f>
        <v/>
      </c>
    </row>
    <row r="13">
      <c r="A13" t="inlineStr">
        <is>
          <t>Bank total (to date)</t>
        </is>
      </c>
      <c r="B13" s="13">
        <f>Bank_Entries!L7</f>
        <v/>
      </c>
    </row>
    <row r="14">
      <c r="A14" t="inlineStr">
        <is>
          <t>YTD Daily Sales</t>
        </is>
      </c>
      <c r="B14" s="13">
        <f>Daily_Sales!Q9</f>
        <v/>
      </c>
    </row>
    <row r="16">
      <c r="A16" s="3" t="inlineStr">
        <is>
          <t>Partners meeting: 抄 Net sales / Gross profit / Net profit / Wages% / Expense% 去 Canva deck。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2026-10-27T08:29:29Z</dcterms:created>
  <dcterms:modified xsi:type="dcterms:W3CDTF">2026-10-27T08:47:51Z</dcterms:modified>
</cp:coreProperties>
</file>